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Video Instructions" sheetId="1" r:id="rId5"/>
    <sheet state="hidden" name="Input Tab" sheetId="2" r:id="rId6"/>
    <sheet state="visible" name="Peer Comparison" sheetId="3" r:id="rId7"/>
    <sheet state="visible" name="Data Tab" sheetId="4" r:id="rId8"/>
    <sheet state="visible" name="API Size" sheetId="5" r:id="rId9"/>
    <sheet state="visible" name="Helper Lists" sheetId="6" r:id="rId10"/>
  </sheets>
  <definedNames>
    <definedName hidden="1" localSheetId="2" name="_xlnm._FilterDatabase">'Peer Comparison'!$A$28:$F$80</definedName>
    <definedName hidden="1" localSheetId="3" name="_xlnm._FilterDatabase">'Data Tab'!$A$1:$X$202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tc={35d4f27a-2eb6-42e7-9081-aef337138e74}</author>
  </authors>
  <commentList>
    <comment authorId="0" xr:uid="{35d4f27a-2eb6-42e7-9081-aef337138e74}" ref="C17">
      <text>
        <t xml:space="preserve">[Threaded comment]
 Your version of Excel allows you to read this threaded comment; however, any edits to it will get removed if the file is opened in a newer version of Excel. Learn more: https://go.microsoft.com/fwlink/?linkid=870924
Comment:
	@marygrace.davis@salesforce.com we entered in TG's numbers from ana report and got these peer comparison outputs. we are wondering where B17 came from how this was calculated?CC @pwadehra@salesforce.com
Assigned to marygrace.davis@salesforce.com
Reply:
	Marked as done
</t>
      </text>
    </comment>
  </commentList>
</comments>
</file>

<file path=xl/sharedStrings.xml><?xml version="1.0" encoding="utf-8"?>
<sst xmlns="http://schemas.openxmlformats.org/spreadsheetml/2006/main" count="4471" uniqueCount="893">
  <si>
    <t xml:space="preserve">What is the Industry Data Matrix: </t>
  </si>
  <si>
    <t>The Peer Comparison Matrix is an internal tool used to compare a customer's API metrics (like reuse rate and reusability) against those of similar customers. It helps provide context to the customer's data and understand how they're performing relative to their peers. The matrix contains data from about 190+ customers across different operating units. It's important to note that this spreadsheetis for internal use only and should never be shared with customers.</t>
  </si>
  <si>
    <t xml:space="preserve">Video Instructions </t>
  </si>
  <si>
    <t>Customer</t>
  </si>
  <si>
    <t>Account ID</t>
  </si>
  <si>
    <t>OU</t>
  </si>
  <si>
    <t># APIs Total</t>
  </si>
  <si>
    <t># APIs being consumed more than once</t>
  </si>
  <si>
    <t># APIs being consumed only once</t>
  </si>
  <si>
    <t># APIs as Batch or Zombie (no consumer)</t>
  </si>
  <si>
    <t># Consumers</t>
  </si>
  <si>
    <t># Reuse Instances</t>
  </si>
  <si>
    <t>% APIs with multiple Consumers</t>
  </si>
  <si>
    <t>% APIs with single Consumers</t>
  </si>
  <si>
    <t>% APIs without any Consumer</t>
  </si>
  <si>
    <t>% Reuse rate (over APIs with at least one consumer)</t>
  </si>
  <si>
    <t>% Reuse rate (over all APIs)</t>
  </si>
  <si>
    <t># Reuse Index  (over APIs with at least one consumer)</t>
  </si>
  <si>
    <t># Reuse Index  (over all APIs)</t>
  </si>
  <si>
    <t>% API-Led</t>
  </si>
  <si>
    <t>% Reusability</t>
  </si>
  <si>
    <t>Date Generated</t>
  </si>
  <si>
    <t>Stellantis Financial Services</t>
  </si>
  <si>
    <t>31 - 60 APIs</t>
  </si>
  <si>
    <t>0013000000FI20DAAT</t>
  </si>
  <si>
    <t xml:space="preserve">Number of Records used </t>
  </si>
  <si>
    <t>Manufacturing, Auto, Energy</t>
  </si>
  <si>
    <t>Aristocrat</t>
  </si>
  <si>
    <t>⬅️ Please do not type here.  Just pick from the drop down</t>
  </si>
  <si>
    <t>SAUR</t>
  </si>
  <si>
    <t>0013y00001cSxloAAC</t>
  </si>
  <si>
    <t>Retail/Consumer Goods</t>
  </si>
  <si>
    <t>MVW</t>
  </si>
  <si>
    <t>Consumer and Business Services</t>
  </si>
  <si>
    <t>--</t>
  </si>
  <si>
    <t>Driscoll's</t>
  </si>
  <si>
    <t>0013000001GVTDZAA5</t>
  </si>
  <si>
    <t>Red Lobster</t>
  </si>
  <si>
    <t>0013000001L69bcAAB</t>
  </si>
  <si>
    <t xml:space="preserve">API Size </t>
  </si>
  <si>
    <t>Coast Capital Savings</t>
  </si>
  <si>
    <t>0013000000M1wn8AAB</t>
  </si>
  <si>
    <t>Financial Services &amp; Insurance</t>
  </si>
  <si>
    <t>All</t>
  </si>
  <si>
    <t>Fairview Health Services</t>
  </si>
  <si>
    <t>0010M00001NYh7zQAD</t>
  </si>
  <si>
    <t>Healthcare, Life Sciences</t>
  </si>
  <si>
    <t>Arise Virtual Solutions</t>
  </si>
  <si>
    <t>0013000000IW9AoAAL</t>
  </si>
  <si>
    <t>Panduit</t>
  </si>
  <si>
    <t>0013000000M1ZebAAF</t>
  </si>
  <si>
    <t>3M Company</t>
  </si>
  <si>
    <t>00100000002IdvWAAS</t>
  </si>
  <si>
    <t>COSTA CROCIERE SPA</t>
  </si>
  <si>
    <t>00130000002xIIIAA2</t>
  </si>
  <si>
    <t>Travel, Transportation, &amp; Hospitality</t>
  </si>
  <si>
    <t>Texas Health Resources</t>
  </si>
  <si>
    <t>00130000002xcqWAAQ</t>
  </si>
  <si>
    <t>Landstar</t>
  </si>
  <si>
    <t>0013y00001bdbMLAAY</t>
  </si>
  <si>
    <t>AAA Automobile Club of Southern California</t>
  </si>
  <si>
    <t>0013000000RYuIfAAL</t>
  </si>
  <si>
    <t/>
  </si>
  <si>
    <t>1 - 30 APIs</t>
  </si>
  <si>
    <t>Pentagon Federal Credit Union</t>
  </si>
  <si>
    <t>0010M00001JzikWQAR</t>
  </si>
  <si>
    <t>101 - 200 APIs</t>
  </si>
  <si>
    <t>201 - 400 APIs</t>
  </si>
  <si>
    <t>400+ APIs</t>
  </si>
  <si>
    <t>61 - 100 APIs</t>
  </si>
  <si>
    <t>General Mills</t>
  </si>
  <si>
    <t>0013y00001cQ3EtAAK</t>
  </si>
  <si>
    <t>Dolce &amp; Gabbana</t>
  </si>
  <si>
    <t>0013000000HI6oVAAT</t>
  </si>
  <si>
    <t>Builders FirstSource</t>
  </si>
  <si>
    <t>00130000000MLvaAAG</t>
  </si>
  <si>
    <t>Yum! Brands</t>
  </si>
  <si>
    <t>People First Bank</t>
  </si>
  <si>
    <t>00130000000IW5dAAG</t>
  </si>
  <si>
    <t>Conagra</t>
  </si>
  <si>
    <t>0010M00001SIcHPQA1</t>
  </si>
  <si>
    <t>Top Golf</t>
  </si>
  <si>
    <t>Ameren</t>
  </si>
  <si>
    <t>0010M00001UM4tHQAT</t>
  </si>
  <si>
    <t>American Builders &amp; Contractors Supply Co.</t>
  </si>
  <si>
    <t>0013y00001dW5muAAC</t>
  </si>
  <si>
    <t>saks</t>
  </si>
  <si>
    <t>0013y00001cIoruAAC</t>
  </si>
  <si>
    <t>Weis Markets</t>
  </si>
  <si>
    <t>00130000002xcHVAAY</t>
  </si>
  <si>
    <t>TransUnion LLC</t>
  </si>
  <si>
    <t>00100000001eEnzAAE</t>
  </si>
  <si>
    <t>Mark Anthony Group</t>
  </si>
  <si>
    <t>0013000000NRJqFAAX</t>
  </si>
  <si>
    <t xml:space="preserve">Inspira </t>
  </si>
  <si>
    <t>0013000000M2AHDAA3</t>
  </si>
  <si>
    <t>LogicMonitor</t>
  </si>
  <si>
    <t>0013000000NRbGMAA1</t>
  </si>
  <si>
    <t>Technology, Media, Telecomm</t>
  </si>
  <si>
    <t>Orange Lake Country Club, Inc (Holiday Inn)</t>
  </si>
  <si>
    <t>NiSource</t>
  </si>
  <si>
    <t>00130000003jhJJAAY</t>
  </si>
  <si>
    <t>Cyberdine System</t>
  </si>
  <si>
    <t>0010M00001U9tT6QAJ</t>
  </si>
  <si>
    <t>UBS Financial Services</t>
  </si>
  <si>
    <t>00130000016gp7kAAA</t>
  </si>
  <si>
    <t>Burns and McDonnell Inc</t>
  </si>
  <si>
    <t>Equifax</t>
  </si>
  <si>
    <t>Sonoco</t>
  </si>
  <si>
    <t>0013000000rneKjAAI</t>
  </si>
  <si>
    <t>Solventum</t>
  </si>
  <si>
    <t>0013000001JyXn0AAF</t>
  </si>
  <si>
    <t>Sobeys</t>
  </si>
  <si>
    <t>Canada</t>
  </si>
  <si>
    <t>Koch GP</t>
  </si>
  <si>
    <t>0013000000GqyYnAAJ</t>
  </si>
  <si>
    <t>Volvo Group</t>
  </si>
  <si>
    <t>0010M00001QqpuvQAB</t>
  </si>
  <si>
    <t>7-Eleven (Australia)</t>
  </si>
  <si>
    <t>Inspire Brands</t>
  </si>
  <si>
    <t>00130000006RvVgAAK</t>
  </si>
  <si>
    <t>AB Inbev</t>
  </si>
  <si>
    <t>AbbVie Inc.</t>
  </si>
  <si>
    <t>ABC Supply Co</t>
  </si>
  <si>
    <t>Public Sector</t>
  </si>
  <si>
    <t>ABSA Bank</t>
  </si>
  <si>
    <t xml:space="preserve">Network Services </t>
  </si>
  <si>
    <t>00130000002xBTTAA2</t>
  </si>
  <si>
    <t>Abu Dhabi Development Group (ADQ)</t>
  </si>
  <si>
    <t>Accent Group</t>
  </si>
  <si>
    <t>Acolad</t>
  </si>
  <si>
    <t>Riskonnect</t>
  </si>
  <si>
    <t>0013000000roZiQAAU</t>
  </si>
  <si>
    <t>Acrisure, LLC</t>
  </si>
  <si>
    <t>Adecco Group</t>
  </si>
  <si>
    <t>ADP</t>
  </si>
  <si>
    <t>AFL</t>
  </si>
  <si>
    <t>Aflac</t>
  </si>
  <si>
    <t xml:space="preserve">Rodan &amp; Fields </t>
  </si>
  <si>
    <t>0013000000rqFWAAA2</t>
  </si>
  <si>
    <t>Agilent Technologies</t>
  </si>
  <si>
    <t>Akamai</t>
  </si>
  <si>
    <t>ALBIANT IT (BPCE)</t>
  </si>
  <si>
    <t>Andersen Corporation</t>
  </si>
  <si>
    <t>00100000001WKHqAAO</t>
  </si>
  <si>
    <t>Allegis Group</t>
  </si>
  <si>
    <t>Alpargatas</t>
  </si>
  <si>
    <t>Alpiq Star Platform</t>
  </si>
  <si>
    <t>Premier Bankcard</t>
  </si>
  <si>
    <t>0013000000KxK8YAAV</t>
  </si>
  <si>
    <t>American Tower LLC</t>
  </si>
  <si>
    <t>AmeriCU</t>
  </si>
  <si>
    <t>AmeriLife</t>
  </si>
  <si>
    <t>Robert Half</t>
  </si>
  <si>
    <t>AmeriLife Group</t>
  </si>
  <si>
    <t>Amrize Cement</t>
  </si>
  <si>
    <t>Arvest Bank</t>
  </si>
  <si>
    <t>Super Retail Group</t>
  </si>
  <si>
    <t>0013y00001dWyD5AAK</t>
  </si>
  <si>
    <t>ASML Netherlands BV</t>
  </si>
  <si>
    <t>Aspen Grove Solutions</t>
  </si>
  <si>
    <t>Aspia AB</t>
  </si>
  <si>
    <t>Assurant</t>
  </si>
  <si>
    <t>Astellas Pharma Europe</t>
  </si>
  <si>
    <t>Atlassian</t>
  </si>
  <si>
    <t xml:space="preserve">Australian Broadcasting Corporation </t>
  </si>
  <si>
    <t>Automobili Lamborghini S.p.A.</t>
  </si>
  <si>
    <t>KPMG Australian Services</t>
  </si>
  <si>
    <t>0010M00001Smx7wQAB</t>
  </si>
  <si>
    <t>B. Braun Melsungen AG</t>
  </si>
  <si>
    <t>Baldwin Insurance</t>
  </si>
  <si>
    <t>Baldwin Insurance Group</t>
  </si>
  <si>
    <t>Banco CTT</t>
  </si>
  <si>
    <t>Banco do Brasil</t>
  </si>
  <si>
    <t>ConvergeOne</t>
  </si>
  <si>
    <t>Barry Callebaut Service NV</t>
  </si>
  <si>
    <t>0010M00001SJMBTQA5</t>
  </si>
  <si>
    <t>BATA Brands</t>
  </si>
  <si>
    <t>Baxter Healthcare Corporation</t>
  </si>
  <si>
    <t>BCA Expertise SAS</t>
  </si>
  <si>
    <t>Belron International Ltd</t>
  </si>
  <si>
    <t>Berlin Packaging</t>
  </si>
  <si>
    <t>Lilly Pulitzer</t>
  </si>
  <si>
    <t>0013000000M2OgTAAV</t>
  </si>
  <si>
    <t>BHP</t>
  </si>
  <si>
    <t>Biocodex Groupe</t>
  </si>
  <si>
    <t>BionNTech</t>
  </si>
  <si>
    <t>Black Hills Federal Credit Union</t>
  </si>
  <si>
    <t>Blue Cross Blue Shield of Arizona, Inc.</t>
  </si>
  <si>
    <t>Hawaiian Airlines</t>
  </si>
  <si>
    <t>00100000002CNHAAA4</t>
  </si>
  <si>
    <t>Bon Secours</t>
  </si>
  <si>
    <t>Booking</t>
  </si>
  <si>
    <t>Bouygues Telecom</t>
  </si>
  <si>
    <t>BP Group</t>
  </si>
  <si>
    <t>PopSockets</t>
  </si>
  <si>
    <t>0010M00001QaQisQAF</t>
  </si>
  <si>
    <t>BPCE</t>
  </si>
  <si>
    <t>Bracco Imaging SpA</t>
  </si>
  <si>
    <t>Brink's Incorporated</t>
  </si>
  <si>
    <t>Bristol Myers Squibb</t>
  </si>
  <si>
    <t>British Car Auctions</t>
  </si>
  <si>
    <t>Brookfield Properties</t>
  </si>
  <si>
    <t>Regis Group</t>
  </si>
  <si>
    <t>0013000001CCCrkAAH</t>
  </si>
  <si>
    <t>Brotherhood Mutual Insurance</t>
  </si>
  <si>
    <t>Business France</t>
  </si>
  <si>
    <t>C&amp;A Services GmbH &amp; Co. OHG</t>
  </si>
  <si>
    <t>0013000000ZkHNRAA3</t>
  </si>
  <si>
    <t>Caixa Geral de Depositos SA</t>
  </si>
  <si>
    <t>California Department of Motor Vehicles</t>
  </si>
  <si>
    <t>California Office of Emergency Services</t>
  </si>
  <si>
    <t xml:space="preserve">Calvary 2 </t>
  </si>
  <si>
    <t>Calzedonia SPA</t>
  </si>
  <si>
    <t>Capgemini</t>
  </si>
  <si>
    <t>CapitaLand Limited</t>
  </si>
  <si>
    <t>Casey's General Stores</t>
  </si>
  <si>
    <t>Serta Simmons</t>
  </si>
  <si>
    <t>0013000000M2NeRAAV</t>
  </si>
  <si>
    <t>Casper</t>
  </si>
  <si>
    <t>CEGID SAS</t>
  </si>
  <si>
    <t>Central Digital</t>
  </si>
  <si>
    <t>Ceridian HCM, Inc.</t>
  </si>
  <si>
    <t>Chalhoub</t>
  </si>
  <si>
    <t>0013000000Cs3n3AAB</t>
  </si>
  <si>
    <t>Charter Communications</t>
  </si>
  <si>
    <t>CHC ENERGÍA</t>
  </si>
  <si>
    <t>Children's Medical Center of Dallas</t>
  </si>
  <si>
    <t>Cielo</t>
  </si>
  <si>
    <t>Ciena Corporation</t>
  </si>
  <si>
    <t>City and County of Denver</t>
  </si>
  <si>
    <t>Dine Brands</t>
  </si>
  <si>
    <t>0010M00001QqvvjQAB</t>
  </si>
  <si>
    <t>Clipper Logistics</t>
  </si>
  <si>
    <t>Clorox</t>
  </si>
  <si>
    <t>Collective Health, Inc</t>
  </si>
  <si>
    <t>Colorado OIT</t>
  </si>
  <si>
    <t>Comcast Cable, Effectv</t>
  </si>
  <si>
    <t>CommonSpirit Health</t>
  </si>
  <si>
    <t>Conagra Brands</t>
  </si>
  <si>
    <t>Levi Strauss</t>
  </si>
  <si>
    <t>0013y00001Y0KUzAAN</t>
  </si>
  <si>
    <t>Coop Alleanza 3.0</t>
  </si>
  <si>
    <t>CORA</t>
  </si>
  <si>
    <t>CORPAY TECHNOLOGIES OPERATING COMPANY, LLC</t>
  </si>
  <si>
    <t>Cox Automotive</t>
  </si>
  <si>
    <t>Hot Topic</t>
  </si>
  <si>
    <t>Crowley</t>
  </si>
  <si>
    <t>0013000000K7YQ6AAN</t>
  </si>
  <si>
    <t>CRS TH - FS Division</t>
  </si>
  <si>
    <t>CSL Behring - CSL BG</t>
  </si>
  <si>
    <t xml:space="preserve">CTT - Correios de Portugal SA </t>
  </si>
  <si>
    <t>Cummins - Commerce</t>
  </si>
  <si>
    <t>Currys Group Limited</t>
  </si>
  <si>
    <t>Daikin Comfort Technologies North America, Inc</t>
  </si>
  <si>
    <t>Giant Eagle</t>
  </si>
  <si>
    <t>Damm SA</t>
  </si>
  <si>
    <t>0013000001Jy3AAAAZ</t>
  </si>
  <si>
    <t>Danone</t>
  </si>
  <si>
    <t>Datavant</t>
  </si>
  <si>
    <t>Dave &amp; Busters</t>
  </si>
  <si>
    <t>Deciem</t>
  </si>
  <si>
    <t>Delaware North</t>
  </si>
  <si>
    <t>Deloitte Global Services LTD</t>
  </si>
  <si>
    <t>PVH Corp</t>
  </si>
  <si>
    <t>0013000000NQDeuAAH</t>
  </si>
  <si>
    <t>DeluxeCorporationPortal</t>
  </si>
  <si>
    <t>Department of Health &amp; Social Care</t>
  </si>
  <si>
    <t>Devoteam SA</t>
  </si>
  <si>
    <t>Diageo Great Britain Limited</t>
  </si>
  <si>
    <t>Dine Brands Global</t>
  </si>
  <si>
    <t xml:space="preserve">Direct Chassis Link </t>
  </si>
  <si>
    <t>Disney Parks Technology Services Co., LLC</t>
  </si>
  <si>
    <t>0010M00001S9GEbQAN</t>
  </si>
  <si>
    <t>DOT FMCSA</t>
  </si>
  <si>
    <t>Ducati Motor Holding S.p.A</t>
  </si>
  <si>
    <t>E.ON Digital Technology GmbH</t>
  </si>
  <si>
    <t xml:space="preserve">Ecolab Inc </t>
  </si>
  <si>
    <t>Edenred ITEC</t>
  </si>
  <si>
    <t>EDF SA</t>
  </si>
  <si>
    <t>Edward D. Jones</t>
  </si>
  <si>
    <t>Eltrona Interdiffusion S.A.</t>
  </si>
  <si>
    <t>Emory Healthcare</t>
  </si>
  <si>
    <t>Empower Federal Credit Union</t>
  </si>
  <si>
    <t>0013y00001dNdnaAAC</t>
  </si>
  <si>
    <t>EnPro Industries</t>
  </si>
  <si>
    <t>EQR</t>
  </si>
  <si>
    <t>Equifax - D2C</t>
  </si>
  <si>
    <t>ESRI</t>
  </si>
  <si>
    <t>Europ Assistance España</t>
  </si>
  <si>
    <t>EVERNEX</t>
  </si>
  <si>
    <t>00100000001CeoUAAS</t>
  </si>
  <si>
    <t>Eversana</t>
  </si>
  <si>
    <t>Experian CS</t>
  </si>
  <si>
    <t>Facebook</t>
  </si>
  <si>
    <t>Farm Credit Financial Partners, Inc.</t>
  </si>
  <si>
    <t>Fastlight</t>
  </si>
  <si>
    <t>FedEx Freight</t>
  </si>
  <si>
    <t>FICTIV</t>
  </si>
  <si>
    <t>Fiera Milano spa</t>
  </si>
  <si>
    <t>0010M00001WA955QAD</t>
  </si>
  <si>
    <t>Financial Partners Credit Union</t>
  </si>
  <si>
    <t>FINANCIERA MADERERA S.A.</t>
  </si>
  <si>
    <t>FORD IMG</t>
  </si>
  <si>
    <t>Ford Pro</t>
  </si>
  <si>
    <t>Ford Retail</t>
  </si>
  <si>
    <t>Fortress Investment Group</t>
  </si>
  <si>
    <t>Four Kites</t>
  </si>
  <si>
    <t>0013000001GWpF4AAL</t>
  </si>
  <si>
    <t>Frost Bank</t>
  </si>
  <si>
    <t>GARANCE</t>
  </si>
  <si>
    <t>Gard AS</t>
  </si>
  <si>
    <t>Geisinger System Services</t>
  </si>
  <si>
    <t>Gen II Fund Services</t>
  </si>
  <si>
    <t>General Motors - Global Leads</t>
  </si>
  <si>
    <t>0013000000LZOJlAAP</t>
  </si>
  <si>
    <t>Genesis Motors Australia</t>
  </si>
  <si>
    <t>Georgia Pacific</t>
  </si>
  <si>
    <t>GIAS s.r.l.</t>
  </si>
  <si>
    <t>Glatfelter Insurance Group</t>
  </si>
  <si>
    <t>Global Federal Credit Union</t>
  </si>
  <si>
    <t xml:space="preserve">Goosehead Insurance </t>
  </si>
  <si>
    <t>0010M00001WadrjQAB</t>
  </si>
  <si>
    <t>Granite Telecommunications, LLC</t>
  </si>
  <si>
    <t>Gryphon Networks</t>
  </si>
  <si>
    <t>Guidewire Software, Inc.</t>
  </si>
  <si>
    <t>GXO Enterprises</t>
  </si>
  <si>
    <t>Hamad International Airport</t>
  </si>
  <si>
    <t>hayes Locums</t>
  </si>
  <si>
    <t>HealthFirst Inc.</t>
  </si>
  <si>
    <t>Hedios</t>
  </si>
  <si>
    <t>Hightower Advisors</t>
  </si>
  <si>
    <t>HMLR</t>
  </si>
  <si>
    <t>HOLCIM UK</t>
  </si>
  <si>
    <t>Holding SMCP</t>
  </si>
  <si>
    <t>0010M00001Yb6NbQAJ</t>
  </si>
  <si>
    <t>HP INC</t>
  </si>
  <si>
    <t>HP Inc.</t>
  </si>
  <si>
    <t>Humana</t>
  </si>
  <si>
    <t>Hunkemöller BV</t>
  </si>
  <si>
    <t>0013000000Gte3vAAB</t>
  </si>
  <si>
    <t>Idaho Central Credit Union</t>
  </si>
  <si>
    <t xml:space="preserve">IEWC </t>
  </si>
  <si>
    <t>ifm electronic gmbh</t>
  </si>
  <si>
    <t>ImaginTech</t>
  </si>
  <si>
    <t>00130000016k2VfAAI</t>
  </si>
  <si>
    <t>Indeed Inc</t>
  </si>
  <si>
    <t>Industrielle Alliance, Assurance et Services Financiers Inc</t>
  </si>
  <si>
    <t>Informa Group Limited</t>
  </si>
  <si>
    <t>00130000002xI5sAAE</t>
  </si>
  <si>
    <t>Iniciativas Bauma, S.L.</t>
  </si>
  <si>
    <t>Investors Group Financial Services Inc</t>
  </si>
  <si>
    <t>0013y00001d2DSjAAM</t>
  </si>
  <si>
    <t>Italiaonline SpA - CH only</t>
  </si>
  <si>
    <t>ITS Testing Services (UK) Limited</t>
  </si>
  <si>
    <t>Jack Henry</t>
  </si>
  <si>
    <t>JBS Australia</t>
  </si>
  <si>
    <t>0013000000CGoZkAAL</t>
  </si>
  <si>
    <t>JM Family Enterprises</t>
  </si>
  <si>
    <t>John Hancock</t>
  </si>
  <si>
    <t>Just Energy</t>
  </si>
  <si>
    <t>KIKO SPA</t>
  </si>
  <si>
    <t>UNKNOWN</t>
  </si>
  <si>
    <t>Kohler Co.</t>
  </si>
  <si>
    <t>0010M00001QjwfEQAR</t>
  </si>
  <si>
    <t>KONE Oyj</t>
  </si>
  <si>
    <t>KPMG</t>
  </si>
  <si>
    <t>LafargeHolcim IT EMEA, SL</t>
  </si>
  <si>
    <t>0013000000LzMbsAAF</t>
  </si>
  <si>
    <t>Liberty Bank</t>
  </si>
  <si>
    <t>0013000000hL0KlAAK</t>
  </si>
  <si>
    <t>LogiTech Inc</t>
  </si>
  <si>
    <t>LOUIS VUITTON MALLETIER</t>
  </si>
  <si>
    <t>Mainova AG</t>
  </si>
  <si>
    <t>0010M00001WXwtsQAD</t>
  </si>
  <si>
    <t>MAN Truck &amp; Bus SE</t>
  </si>
  <si>
    <t>Marcus Millichap Real Estate Investment Services</t>
  </si>
  <si>
    <t>Marine Credit Union</t>
  </si>
  <si>
    <t>0013y00001dL2qBAAS</t>
  </si>
  <si>
    <t>Mars</t>
  </si>
  <si>
    <t>Mars Information Services Inc.</t>
  </si>
  <si>
    <t xml:space="preserve">Mars Information Services Inc. </t>
  </si>
  <si>
    <t>00130000008ebBFAAY</t>
  </si>
  <si>
    <t>Mars, Inc (Kellanova)</t>
  </si>
  <si>
    <t>MASORANGE, S.L.</t>
  </si>
  <si>
    <t>0013y00001f9NV4AAM</t>
  </si>
  <si>
    <t>Mass General Brigham</t>
  </si>
  <si>
    <t>Mattress Firm</t>
  </si>
  <si>
    <t>Mazda Motor Logistics Europe nv</t>
  </si>
  <si>
    <t>McLaneMulesoft</t>
  </si>
  <si>
    <t>0013000000RX4PEAA1</t>
  </si>
  <si>
    <t>MCM Worldwide</t>
  </si>
  <si>
    <t>Mcphersons</t>
  </si>
  <si>
    <t>MECCA</t>
  </si>
  <si>
    <t>Mediacom Communications Corporation</t>
  </si>
  <si>
    <t>0010M00001NYv0WQAT</t>
  </si>
  <si>
    <t>Medica Services Company, LLC</t>
  </si>
  <si>
    <t>Medical Mutual of Ohio</t>
  </si>
  <si>
    <t>Melbourne City Council</t>
  </si>
  <si>
    <t>0013000000ZjjGXAAZ</t>
  </si>
  <si>
    <t>Merck</t>
  </si>
  <si>
    <t>Merz North America</t>
  </si>
  <si>
    <t>Meta (Care)</t>
  </si>
  <si>
    <t>00130000002xIP9AAM</t>
  </si>
  <si>
    <t>Metrobank</t>
  </si>
  <si>
    <t xml:space="preserve">Metso </t>
  </si>
  <si>
    <t>MHRA</t>
  </si>
  <si>
    <t>0013y00001Y0fGPAAZ</t>
  </si>
  <si>
    <t>Mid Penn Bank</t>
  </si>
  <si>
    <t>Minol Messtechnik W. Lehmann GmbH &amp; Co. KG</t>
  </si>
  <si>
    <t>MOL Magyar Olaj-és Gázipari Nyrt.</t>
  </si>
  <si>
    <t>00130000002x98yAAA</t>
  </si>
  <si>
    <t>Molina Healthcare</t>
  </si>
  <si>
    <t>Mom's Meals</t>
  </si>
  <si>
    <t>Momentum Energy</t>
  </si>
  <si>
    <t>00130000002xBSVAA2</t>
  </si>
  <si>
    <t>Monash University</t>
  </si>
  <si>
    <t>Moncler</t>
  </si>
  <si>
    <t>Monster Energy</t>
  </si>
  <si>
    <t>MRC Global Management Company</t>
  </si>
  <si>
    <t>Murata Manufacturing Co. Ltd</t>
  </si>
  <si>
    <t>Mutual of Omaha</t>
  </si>
  <si>
    <t>00130000016geDKAAY</t>
  </si>
  <si>
    <t>National Education Association</t>
  </si>
  <si>
    <t>National Grid UK Limited</t>
  </si>
  <si>
    <t>Naturgy Energy Group</t>
  </si>
  <si>
    <t>0010M00001PE40gQAD</t>
  </si>
  <si>
    <t>Nestlé</t>
  </si>
  <si>
    <t>New Customer</t>
  </si>
  <si>
    <t>0010M00001WI6H5QAL</t>
  </si>
  <si>
    <t>Newell Brands</t>
  </si>
  <si>
    <t>Nintendo of America Inc.</t>
  </si>
  <si>
    <t xml:space="preserve">Peer Data Displayed </t>
  </si>
  <si>
    <t>0010M00001XxruXQAR</t>
  </si>
  <si>
    <t>Northwell Health, Inc.</t>
  </si>
  <si>
    <t>Northwest Federal Credit Union</t>
  </si>
  <si>
    <t>Novelis</t>
  </si>
  <si>
    <t>Customer Name</t>
  </si>
  <si>
    <t>0013000001JyamSAAR</t>
  </si>
  <si>
    <t>Novo Nordisk</t>
  </si>
  <si>
    <t>Number of APIs</t>
  </si>
  <si>
    <t>NSC Europe</t>
  </si>
  <si>
    <t>NVIDIA</t>
  </si>
  <si>
    <t>NVIDIA Inc.</t>
  </si>
  <si>
    <t>0013y00001d0KjVAAU</t>
  </si>
  <si>
    <t>OBI Smart Technologies</t>
  </si>
  <si>
    <t>One America</t>
  </si>
  <si>
    <t>Col</t>
  </si>
  <si>
    <t>One America Financial Partners</t>
  </si>
  <si>
    <t>ONE.CRM</t>
  </si>
  <si>
    <t>0013y00001cINmkAAG</t>
  </si>
  <si>
    <t>OneMain Financial</t>
  </si>
  <si>
    <t>00100000001L6sqAAC</t>
  </si>
  <si>
    <t>Organisation APICIL</t>
  </si>
  <si>
    <t>Organon Inc.</t>
  </si>
  <si>
    <t>00130000004WqPJAA0</t>
  </si>
  <si>
    <t>ORNL Federal Credit Union</t>
  </si>
  <si>
    <t>Orthofix</t>
  </si>
  <si>
    <t>Oxford Global Resources LLC</t>
  </si>
  <si>
    <t>0013000000Gu3n9AAB</t>
  </si>
  <si>
    <t>Pacific Dental Services</t>
  </si>
  <si>
    <t>Pacific Gas</t>
  </si>
  <si>
    <t>Pacific Gas and Electric Company</t>
  </si>
  <si>
    <t>00130000000PY9XAAW</t>
  </si>
  <si>
    <t>Pacific Sunwear</t>
  </si>
  <si>
    <t>Panera LLC</t>
  </si>
  <si>
    <t>Parexel</t>
  </si>
  <si>
    <t>00130000002xIo5AAE</t>
  </si>
  <si>
    <t>0013000001GUSVsAAP</t>
  </si>
  <si>
    <t>Pepper Money</t>
  </si>
  <si>
    <t>PETRONAS Digital Sdn Bhd</t>
  </si>
  <si>
    <t>Picard SA</t>
  </si>
  <si>
    <t>0010M00001WXwufQAD</t>
  </si>
  <si>
    <t>Picard Surgelés SAS</t>
  </si>
  <si>
    <t>PlatformX Communications</t>
  </si>
  <si>
    <t>Pluralsight</t>
  </si>
  <si>
    <t>001000000014qGQAAY</t>
  </si>
  <si>
    <t>Pokemon</t>
  </si>
  <si>
    <t>Porto Seguro Companhia De Seguros Gerais</t>
  </si>
  <si>
    <t>Pret A Manger (Europe) Limited</t>
  </si>
  <si>
    <t>Prisma Health</t>
  </si>
  <si>
    <t>0013000001CBCjZAAX</t>
  </si>
  <si>
    <t>Providence Health Plans</t>
  </si>
  <si>
    <t>Public Storage</t>
  </si>
  <si>
    <t>Punto Fa S.L. - Mango</t>
  </si>
  <si>
    <t>0010M00001Z0EIHQA3</t>
  </si>
  <si>
    <t>QBE</t>
  </si>
  <si>
    <t>QIC</t>
  </si>
  <si>
    <t>00130000002xIPVAA2</t>
  </si>
  <si>
    <t>Quadreal Property Group</t>
  </si>
  <si>
    <t>Radhika Krishnan</t>
  </si>
  <si>
    <t>Radius Recycling, Inc.</t>
  </si>
  <si>
    <t xml:space="preserve">Red Sea </t>
  </si>
  <si>
    <t>0013000001MrO3bAAF</t>
  </si>
  <si>
    <t>Regal Rexnord Corp</t>
  </si>
  <si>
    <t>REGION ILE DE FRANCE - MULESOFT</t>
  </si>
  <si>
    <t>0013000000hMTt3AAG</t>
  </si>
  <si>
    <t>Reno De' Medici</t>
  </si>
  <si>
    <t>Repsol S.A.</t>
  </si>
  <si>
    <t>Resolution Life Australia</t>
  </si>
  <si>
    <t>0013000000M0KzCAAV</t>
  </si>
  <si>
    <t>Resolution Life Group</t>
  </si>
  <si>
    <t>0013000001CB67QAAT</t>
  </si>
  <si>
    <t>ROBERTO BUCCI E C. SPA</t>
  </si>
  <si>
    <t>Rochester Electronics</t>
  </si>
  <si>
    <t>Rockwell Automation</t>
  </si>
  <si>
    <t>RTI SPA</t>
  </si>
  <si>
    <t>RTL Nederland</t>
  </si>
  <si>
    <t>0013000000NSim6AAD</t>
  </si>
  <si>
    <t>Runkeeper (Asics Digital)</t>
  </si>
  <si>
    <t>Safelite Group, Inc</t>
  </si>
  <si>
    <t>00130000001BNhaAAG</t>
  </si>
  <si>
    <t>Sally Holdings LLC</t>
  </si>
  <si>
    <t>Sammons Financial Group</t>
  </si>
  <si>
    <t>Samworth Brothers</t>
  </si>
  <si>
    <t>0013000001Jy9YZAAZ</t>
  </si>
  <si>
    <t>Santander Global Trade Platform Services, S.L</t>
  </si>
  <si>
    <t>Schneider Electric USA Inc.</t>
  </si>
  <si>
    <t>SCML</t>
  </si>
  <si>
    <t>Scotia Gas Network</t>
  </si>
  <si>
    <t>SDL Limited</t>
  </si>
  <si>
    <t>0013000001EYRreAAH</t>
  </si>
  <si>
    <t>Seche Alliance</t>
  </si>
  <si>
    <t>Séché Environnement Global</t>
  </si>
  <si>
    <t>Sensata Technologies</t>
  </si>
  <si>
    <t>0013000000NR8oyAAD</t>
  </si>
  <si>
    <t>Servier Monde</t>
  </si>
  <si>
    <t>00130000001epWvAAI</t>
  </si>
  <si>
    <t>Shutterfly, LLC</t>
  </si>
  <si>
    <t>SIGNA Sports United GmbH (SSU)</t>
  </si>
  <si>
    <t xml:space="preserve">Six Continents Hotel </t>
  </si>
  <si>
    <t>0013000000ZkCDqAAN</t>
  </si>
  <si>
    <t>SJOG</t>
  </si>
  <si>
    <t>SMCP_HQ</t>
  </si>
  <si>
    <t>0013y00001d6xleAAA</t>
  </si>
  <si>
    <t>Sol SPA</t>
  </si>
  <si>
    <t>Sonepar</t>
  </si>
  <si>
    <t>Sony Interactive Entertainment</t>
  </si>
  <si>
    <t>Sophos Limited</t>
  </si>
  <si>
    <t>Spirit Airlines</t>
  </si>
  <si>
    <t>00130000000mS5YAAU</t>
  </si>
  <si>
    <t>Sport Lisboa e Benfica, SAD</t>
  </si>
  <si>
    <t>Square Inc (Block)</t>
  </si>
  <si>
    <t>SSP Financing UK Ltd</t>
  </si>
  <si>
    <t>0013000000HIoUuAAL</t>
  </si>
  <si>
    <t>St. James's Place</t>
  </si>
  <si>
    <t>00130000002x9dIAAQ</t>
  </si>
  <si>
    <t>Stanford Health Care</t>
  </si>
  <si>
    <t>Starbucks Corporation</t>
  </si>
  <si>
    <t>State of Indiana (IOT)</t>
  </si>
  <si>
    <t>0010M00001XxylCQAR</t>
  </si>
  <si>
    <t>State of Indiana IOT</t>
  </si>
  <si>
    <t>State of WI - DSPS</t>
  </si>
  <si>
    <t>State of Wyoming DFS</t>
  </si>
  <si>
    <t>Stellar Bank</t>
  </si>
  <si>
    <t>Stripe</t>
  </si>
  <si>
    <t>Student Loans Company</t>
  </si>
  <si>
    <t>Studio Retail Ltd (formerly known as Express Gifts)</t>
  </si>
  <si>
    <t>Sunbelt Rentals</t>
  </si>
  <si>
    <t>SWIFT SC</t>
  </si>
  <si>
    <t>00130000002xDxSAAU</t>
  </si>
  <si>
    <t>Sysco Corporation</t>
  </si>
  <si>
    <t>Tea Too</t>
  </si>
  <si>
    <t>Telecom Argentina S.A.</t>
  </si>
  <si>
    <t>00130000002xEeFAAU</t>
  </si>
  <si>
    <t>Test 2</t>
  </si>
  <si>
    <t>Thalys (THI Factory SA)</t>
  </si>
  <si>
    <t>0013000001FKtuyAAD</t>
  </si>
  <si>
    <t>The Boeing Company</t>
  </si>
  <si>
    <t>The Boston Consulting Group</t>
  </si>
  <si>
    <t>The Clorox Company</t>
  </si>
  <si>
    <t>The Hertz Corporation</t>
  </si>
  <si>
    <t>0013y00001ce8IBAAY</t>
  </si>
  <si>
    <t>The Johns Hopkins Health System Corporation</t>
  </si>
  <si>
    <t>THOM EUROPE</t>
  </si>
  <si>
    <t>Three</t>
  </si>
  <si>
    <t>TMF Group</t>
  </si>
  <si>
    <t>001000000006berAAA</t>
  </si>
  <si>
    <t>Top Golf USA, Inc.</t>
  </si>
  <si>
    <t>Tourline Express</t>
  </si>
  <si>
    <t>00100000001g25TAAQ</t>
  </si>
  <si>
    <t>Toyota Canada Inc</t>
  </si>
  <si>
    <t>Transgrid</t>
  </si>
  <si>
    <t>0010M00001PDwlHQAT</t>
  </si>
  <si>
    <t>Truist Bank</t>
  </si>
  <si>
    <t>Trustmark</t>
  </si>
  <si>
    <t>TÜV SÜD Business Services GmbH</t>
  </si>
  <si>
    <t>0013000000rnvEkAAI</t>
  </si>
  <si>
    <t>UFD</t>
  </si>
  <si>
    <t>UK Export Finance</t>
  </si>
  <si>
    <t>UNF01</t>
  </si>
  <si>
    <t>Unicredit Services</t>
  </si>
  <si>
    <t>0013000000NPfexAAD</t>
  </si>
  <si>
    <t>United Healthcare Services-Org2(CH)</t>
  </si>
  <si>
    <t>urns &amp; McDonnell Engineering Company, Inc.</t>
  </si>
  <si>
    <t>Vanquis Bank</t>
  </si>
  <si>
    <t>Vátryggingafélag Islands hf</t>
  </si>
  <si>
    <t>0010M00001PDxyZQAT</t>
  </si>
  <si>
    <t>VDL Nederland B.V.</t>
  </si>
  <si>
    <t>Versant Media LLC</t>
  </si>
  <si>
    <t>VF Services, LLC</t>
  </si>
  <si>
    <t xml:space="preserve">Vialto </t>
  </si>
  <si>
    <t>00100000000tKHPAA2</t>
  </si>
  <si>
    <t>Vicinity</t>
  </si>
  <si>
    <t>VillageMD</t>
  </si>
  <si>
    <t>VINCI Energies</t>
  </si>
  <si>
    <t>0013000000hJOYzAAO</t>
  </si>
  <si>
    <t>Virgin Media Limited</t>
  </si>
  <si>
    <t>Vision Service Plan</t>
  </si>
  <si>
    <t>Vocus</t>
  </si>
  <si>
    <t>Vodafone DE</t>
  </si>
  <si>
    <t>0013000000LiaTrAAJ</t>
  </si>
  <si>
    <t>VodafoneSpa</t>
  </si>
  <si>
    <t>Vonage</t>
  </si>
  <si>
    <t>0010M00001bbxgYQAQ</t>
  </si>
  <si>
    <t>Vopak</t>
  </si>
  <si>
    <t>Wellpath</t>
  </si>
  <si>
    <t>WESCO</t>
  </si>
  <si>
    <t>0013000000hLlD2AAK</t>
  </si>
  <si>
    <t>Westrock Shared Services</t>
  </si>
  <si>
    <t>Wintrust Financial</t>
  </si>
  <si>
    <t>Wren Kitchens</t>
  </si>
  <si>
    <t>Xerox Corporation</t>
  </si>
  <si>
    <t>Yanmar</t>
  </si>
  <si>
    <t>Zagg Incorporated</t>
  </si>
  <si>
    <t>Zimmer Biomet</t>
  </si>
  <si>
    <t>Zix</t>
  </si>
  <si>
    <t>ZoomInfo</t>
  </si>
  <si>
    <t>0013000000rqONSAA2</t>
  </si>
  <si>
    <t>0013000000M0xBTAAZ</t>
  </si>
  <si>
    <t>0013000001KYcUQAA1</t>
  </si>
  <si>
    <t>0010M00001WXwtqQAD</t>
  </si>
  <si>
    <t>0010M00001QoIehQAF</t>
  </si>
  <si>
    <t>0013000000rnlQtAAI</t>
  </si>
  <si>
    <t>00130000008ea9KAAQ</t>
  </si>
  <si>
    <t>0013000001GUYzXAAX</t>
  </si>
  <si>
    <t>001000000027vN5AAI</t>
  </si>
  <si>
    <t>0013000000K7K9LAAV</t>
  </si>
  <si>
    <t>0013000001GY8knAAD</t>
  </si>
  <si>
    <t>0010M00001Qk0oIQAR</t>
  </si>
  <si>
    <t>0013000000HF54fAAD</t>
  </si>
  <si>
    <t>00130000002xBIgAAM</t>
  </si>
  <si>
    <t>0013000001NXlrUAAT</t>
  </si>
  <si>
    <t>00130000002xBEFAA2</t>
  </si>
  <si>
    <t>0010M00001UMZKQQA5</t>
  </si>
  <si>
    <t>001ed000005uVfpAAE</t>
  </si>
  <si>
    <t>0013000000hL3YgAAK</t>
  </si>
  <si>
    <t>0013000000JyloHAAR</t>
  </si>
  <si>
    <t>0013000000JKobHAAT</t>
  </si>
  <si>
    <t>0010M00001W7ve1QAB</t>
  </si>
  <si>
    <t>00130000005tQ9vAAE</t>
  </si>
  <si>
    <t>0013000000Fdaw7AAB</t>
  </si>
  <si>
    <t>0013000001FkD4rAAF</t>
  </si>
  <si>
    <t>0013000001CCEozAAH</t>
  </si>
  <si>
    <t>00130000007Ela7AAC</t>
  </si>
  <si>
    <t>00130000002xHT0AAM</t>
  </si>
  <si>
    <t>0013000001JcBtXAAV</t>
  </si>
  <si>
    <t>00100000000y4SWAAY</t>
  </si>
  <si>
    <t>0010M00001XxeeZQAR</t>
  </si>
  <si>
    <t>0013000001NXkQtAAL</t>
  </si>
  <si>
    <t>00130000003NevxAAC</t>
  </si>
  <si>
    <t>0010M00001U3p5ZQAR</t>
  </si>
  <si>
    <t>0013000000M1bBGAAZ</t>
  </si>
  <si>
    <t>00130000016j9gJAAQ</t>
  </si>
  <si>
    <t>001000000007txHAAQ</t>
  </si>
  <si>
    <t>0010M00001WJjrAQAT</t>
  </si>
  <si>
    <t>00100000001L6t4AAC</t>
  </si>
  <si>
    <t>0013y00001cIcyNAAS</t>
  </si>
  <si>
    <t>0013000000M2Lx1AAF</t>
  </si>
  <si>
    <t>00100000002CNG6AAO</t>
  </si>
  <si>
    <t>0013y00001beIXNAA2</t>
  </si>
  <si>
    <t>001ed00000XWiXaAAL</t>
  </si>
  <si>
    <t>0010M00001MtRkkQAF</t>
  </si>
  <si>
    <t>0013000000rniofAAA</t>
  </si>
  <si>
    <t>0013000000hLO6rAAG</t>
  </si>
  <si>
    <t>0013000001JeaVlAAJ</t>
  </si>
  <si>
    <t>0013y00001cSdioAAC</t>
  </si>
  <si>
    <t>0013y00001dkECKAA2</t>
  </si>
  <si>
    <t>0013000000Zlg4FAAR</t>
  </si>
  <si>
    <t>00100000001wk39AAA</t>
  </si>
  <si>
    <t>0013000001GWlTHAA1</t>
  </si>
  <si>
    <t>00130000002xTN1AAM</t>
  </si>
  <si>
    <t>0013000000hLVqqAAG</t>
  </si>
  <si>
    <t>00100000001t4ZaAAI</t>
  </si>
  <si>
    <t>0013000000M2PJ8AAN</t>
  </si>
  <si>
    <t>0013y00001cgTNgAAM</t>
  </si>
  <si>
    <t>0010M00001Sq1ddQAB</t>
  </si>
  <si>
    <t>0013000001GX0FdAAL</t>
  </si>
  <si>
    <t>0013y00001cfmYQAAY</t>
  </si>
  <si>
    <t>0013000000CG9f4AAD</t>
  </si>
  <si>
    <t>0013000001FkBRTAA3</t>
  </si>
  <si>
    <t>0013000000NQAKYAA5</t>
  </si>
  <si>
    <t>0010M00001XyAPjQAN</t>
  </si>
  <si>
    <t>00100000001L62iAAC</t>
  </si>
  <si>
    <t>0010M00001QlzaLQAR</t>
  </si>
  <si>
    <t>0013000001HeuQCAAZ</t>
  </si>
  <si>
    <t>0013y00001dWRYGAA4</t>
  </si>
  <si>
    <t>0013y00001XzX5eAAF</t>
  </si>
  <si>
    <t>0013000001IhO3vAAF</t>
  </si>
  <si>
    <t>0013000000royu1AAA</t>
  </si>
  <si>
    <t>0010M00001WXwuiQAD</t>
  </si>
  <si>
    <t>0010000000011nCAAQ</t>
  </si>
  <si>
    <t>00130000002xBD7AAM</t>
  </si>
  <si>
    <t>0013000000GJCy3AAH</t>
  </si>
  <si>
    <t>0013000000hJs1sAAC</t>
  </si>
  <si>
    <t>0013000000M1BwYAAV</t>
  </si>
  <si>
    <t>00130000016jML4AAM</t>
  </si>
  <si>
    <t>0013y00001fE0hgAAC</t>
  </si>
  <si>
    <t>0010M00001UM3f9QAD</t>
  </si>
  <si>
    <t>0010M00001QaPLiQAN</t>
  </si>
  <si>
    <t>0013000000hLGofAAG</t>
  </si>
  <si>
    <t>0013000000rnUpEAAU</t>
  </si>
  <si>
    <t>0013000001LyQaFAAV</t>
  </si>
  <si>
    <t>0013000000M1fy7AAB</t>
  </si>
  <si>
    <t>0013000001M1QKUAA3</t>
  </si>
  <si>
    <t>0013000000IUP5DAAX</t>
  </si>
  <si>
    <t>0013000000K13F4AAJ</t>
  </si>
  <si>
    <t>001000000025KsAAAU</t>
  </si>
  <si>
    <t>00130000002xUpVAAU</t>
  </si>
  <si>
    <t>0013y00001cp2KJAAY</t>
  </si>
  <si>
    <t>0010M00001cDNlvQAG</t>
  </si>
  <si>
    <t>0010M00001MtNDDQA3</t>
  </si>
  <si>
    <t>00130000016ieraAAA</t>
  </si>
  <si>
    <t>0063y00001AdIXPAA3</t>
  </si>
  <si>
    <t>0013y00001fMwJZAA0</t>
  </si>
  <si>
    <t>0013000000HkpsUAAR</t>
  </si>
  <si>
    <t>0010M00001SeqN7QAJ</t>
  </si>
  <si>
    <t>0013000000rp2UAAAY</t>
  </si>
  <si>
    <t>00130000000SaGdAAK</t>
  </si>
  <si>
    <t>00100000001XzCnAAK</t>
  </si>
  <si>
    <t>2F0010M00001P0EVXQ</t>
  </si>
  <si>
    <t>00130000000cz3VAAQ</t>
  </si>
  <si>
    <t>0013y00001fcaRFAAY</t>
  </si>
  <si>
    <t>0013000000LzUg2AAF</t>
  </si>
  <si>
    <t>0010M00001Qk4xqQAB</t>
  </si>
  <si>
    <t>0013000000HjjrfAAB</t>
  </si>
  <si>
    <t>0013000001GVLK3AAP</t>
  </si>
  <si>
    <t>001000000027wJIAAI</t>
  </si>
  <si>
    <t>0010M00001QqZZyQAN</t>
  </si>
  <si>
    <t>0010M00001YFjbgQAD</t>
  </si>
  <si>
    <t>0013y00001cHXWYAA4</t>
  </si>
  <si>
    <t>0013000001GWtVNAA1</t>
  </si>
  <si>
    <t>0010M00001WXwuYQAT</t>
  </si>
  <si>
    <t>00130000002xcLEAAY</t>
  </si>
  <si>
    <t>2F0010M00001SJMBTQ</t>
  </si>
  <si>
    <t>0010M00001QlTRQQA3</t>
  </si>
  <si>
    <t>00130000008eaIgAAI</t>
  </si>
  <si>
    <t>00130000000mWD6AAM</t>
  </si>
  <si>
    <t>0013000000ZkJbKAAV</t>
  </si>
  <si>
    <t>001ed00000CubkPAAR</t>
  </si>
  <si>
    <t>00130000002xJA9AAM</t>
  </si>
  <si>
    <t>0010M00001QjzkxQAB</t>
  </si>
  <si>
    <t>0013000000hMX79AAG</t>
  </si>
  <si>
    <t>0013000001GVaF0AAL</t>
  </si>
  <si>
    <t>00130000001fKt0AAE</t>
  </si>
  <si>
    <t>0013000000JzTPLAA3</t>
  </si>
  <si>
    <t>0013y00001eF7oRAAS</t>
  </si>
  <si>
    <t>00130000002xRmAAAU</t>
  </si>
  <si>
    <t>0013000001GY5eDAAT</t>
  </si>
  <si>
    <t>0013000000hK5kKAAS</t>
  </si>
  <si>
    <t>0013000000NQfD3AAL</t>
  </si>
  <si>
    <t>0010M00001SebjlQAB</t>
  </si>
  <si>
    <t>00100000000D6sIAAS</t>
  </si>
  <si>
    <t>00130000001eXHLAA2</t>
  </si>
  <si>
    <t>0013000000JIu1eAAD</t>
  </si>
  <si>
    <t>001ed00000CpUjYAAV</t>
  </si>
  <si>
    <t>0013000001GWu01AAD</t>
  </si>
  <si>
    <t>0013000000M2NBmAAN</t>
  </si>
  <si>
    <t>0013000000IklLIAAZ</t>
  </si>
  <si>
    <t>0010M00001Wa6nqQAB</t>
  </si>
  <si>
    <t>001ed0000115Q8rAAE</t>
  </si>
  <si>
    <t>0013000001CBbNTAA1</t>
  </si>
  <si>
    <t>00100000001AefnAAC</t>
  </si>
  <si>
    <t>2F00130000002xZjlA</t>
  </si>
  <si>
    <t>001ed00000bcvXpAAI</t>
  </si>
  <si>
    <t>0013000001MsXbJAAV</t>
  </si>
  <si>
    <t>0013000000Zl1iaAAB</t>
  </si>
  <si>
    <t>0013000000RWvhzAAD</t>
  </si>
  <si>
    <t>00100000001UKzwAAG</t>
  </si>
  <si>
    <t>00Df4000000ngfD</t>
  </si>
  <si>
    <t>0010M00001QnwZdQAJ</t>
  </si>
  <si>
    <t>0013y00001exYEMAA2</t>
  </si>
  <si>
    <t>00130000005LpMpAAK</t>
  </si>
  <si>
    <t>00130000016jl2tAAA</t>
  </si>
  <si>
    <t>2F0013000001Jy7thA</t>
  </si>
  <si>
    <t>0013000000M1oHJAAZ</t>
  </si>
  <si>
    <t>0013000000ITrFDAA1</t>
  </si>
  <si>
    <t>0010M00001QnMKvQAN</t>
  </si>
  <si>
    <t>001ed000005rdQCAAY</t>
  </si>
  <si>
    <t>0010M00001WZcomQAD</t>
  </si>
  <si>
    <t>0013000000GtwtSAAR</t>
  </si>
  <si>
    <t>0010M00001QmSQXQA3</t>
  </si>
  <si>
    <t>0013000000M1bNlAAJ</t>
  </si>
  <si>
    <t>2F00130000002xU3uA</t>
  </si>
  <si>
    <t>00100000001aeKnAAI</t>
  </si>
  <si>
    <t>0013000000rorojAAA</t>
  </si>
  <si>
    <t>0010M00001WXwtlQAD</t>
  </si>
  <si>
    <t>00100000001v3llAAA</t>
  </si>
  <si>
    <t>0013000001JyM3KAAV</t>
  </si>
  <si>
    <t>0010000000000bnAAA</t>
  </si>
  <si>
    <t>0013y00001cgPX7AAM</t>
  </si>
  <si>
    <t>001300000021K0IAAU</t>
  </si>
  <si>
    <t>0013y00001d6zkxAAA</t>
  </si>
  <si>
    <t>0013y00001ce2nrAAA</t>
  </si>
  <si>
    <t>0013000000rojaGAAQ</t>
  </si>
  <si>
    <t>0013000000hJSRoAAO</t>
  </si>
  <si>
    <t>0013000000JjiuAAAR</t>
  </si>
  <si>
    <t>0013000000JKse3AAD</t>
  </si>
  <si>
    <t>001ed00000VweckAAB</t>
  </si>
  <si>
    <t>0013y00001cZc4gAAC</t>
  </si>
  <si>
    <t>0013y00001d78w3AAA</t>
  </si>
  <si>
    <t>0013000000M1a50AAB</t>
  </si>
  <si>
    <t>00130000016h9dVAAQ</t>
  </si>
  <si>
    <t>0013000000JjZ9hAAF</t>
  </si>
  <si>
    <t>0013y00001d77j6AAA</t>
  </si>
  <si>
    <t>0013000000RaPcXAAV</t>
  </si>
  <si>
    <t>0013000001Fk9zkAAB</t>
  </si>
  <si>
    <t>00100000001iqcKAAQ</t>
  </si>
  <si>
    <t>0013000000BnY6XAAV</t>
  </si>
  <si>
    <t>0010M00001NYWhgQAH</t>
  </si>
  <si>
    <t>00130000009aNB2AAM</t>
  </si>
  <si>
    <t>0013y00001bet46AAA</t>
  </si>
  <si>
    <t>0010M00001QmNeQQAV</t>
  </si>
  <si>
    <t>001000000004aOoAAI</t>
  </si>
  <si>
    <t>0013000001NXIAxAAP</t>
  </si>
  <si>
    <t>00130000002xU3uAAE</t>
  </si>
  <si>
    <t>0013000001Fj9t1AAB</t>
  </si>
  <si>
    <t>0013y00001fTDDdAAO</t>
  </si>
  <si>
    <t>0013y00001cQFawAAG</t>
  </si>
  <si>
    <t>0010M00001XxekmQAB</t>
  </si>
  <si>
    <t>0010M00001P0Vr7QAF</t>
  </si>
  <si>
    <t>0013y00001c8LgnAAE</t>
  </si>
  <si>
    <t>0013y00001YbYc0AAF</t>
  </si>
  <si>
    <t>0013y00001cyfugAAA</t>
  </si>
  <si>
    <t>0013000000GJvoAAAT</t>
  </si>
  <si>
    <t>0013000001CA79HAAT</t>
  </si>
  <si>
    <t>0013000000ZlQp1AAF</t>
  </si>
  <si>
    <t>00100000002Em7HAAS</t>
  </si>
  <si>
    <t>0010M00001UVXgxQAH</t>
  </si>
  <si>
    <t>0013000000M1p9EAAR</t>
  </si>
  <si>
    <t>0013000001JyeTbAAJ</t>
  </si>
  <si>
    <t>0013y00001Z0hA9AAJ</t>
  </si>
  <si>
    <t>0013y00001YbYXPAA3</t>
  </si>
  <si>
    <t>00130000002xEhhAAE</t>
  </si>
  <si>
    <t>00100000000DiI7AAK</t>
  </si>
  <si>
    <t>0010M00001Xy6U6QAJ</t>
  </si>
  <si>
    <t>00100000001DUQrAAO</t>
  </si>
  <si>
    <t>0010M00001QllzaQAB</t>
  </si>
  <si>
    <t>00130000002xXWsAAM</t>
  </si>
  <si>
    <t>0013y00001cwAWuAAM</t>
  </si>
  <si>
    <t>00130000001iM27AAE</t>
  </si>
  <si>
    <t>00100000001wHXeAAM</t>
  </si>
  <si>
    <t>0010M00001PDvLXQA1</t>
  </si>
  <si>
    <t>0010M00001NYj0MQAT</t>
  </si>
  <si>
    <t>0013000000Gqno4AAB</t>
  </si>
  <si>
    <t>00130000008UtFcAAK</t>
  </si>
  <si>
    <t>0013y00001Z1A8aAAF</t>
  </si>
  <si>
    <t>0010M00001Sq6pSQAR</t>
  </si>
  <si>
    <t>0013y00001es28dAAA</t>
  </si>
  <si>
    <t>0013000001Jz3QjAAJ</t>
  </si>
  <si>
    <t>0010M00001Qkq0hQAB</t>
  </si>
  <si>
    <t>0013y00001cIlVHAA0</t>
  </si>
  <si>
    <t>0013y00001c8P6BAAU</t>
  </si>
  <si>
    <t>00130000002xRjeAAE</t>
  </si>
  <si>
    <t>0010M00001NYVtaQAH</t>
  </si>
  <si>
    <t>2F0013000000M1BwYA</t>
  </si>
  <si>
    <t>00130000016jw9VAAQ</t>
  </si>
  <si>
    <t>0010M00001P0PP0QAN</t>
  </si>
  <si>
    <t>0013y00001cSflrAAC</t>
  </si>
  <si>
    <t>2F0013000001GX0FdA</t>
  </si>
  <si>
    <t>001ed00001CG5pEAAT</t>
  </si>
  <si>
    <t>0013000000M2LxbAAF</t>
  </si>
  <si>
    <t>00100000001BijMAAS</t>
  </si>
  <si>
    <t>0013000000M0avlAAB</t>
  </si>
  <si>
    <t>0013000000hMZ59AAG</t>
  </si>
  <si>
    <t>0013000000JJqiAAAT</t>
  </si>
  <si>
    <t>00100000000aHKkAAM</t>
  </si>
  <si>
    <t>0010M00001JzvBBQAZ</t>
  </si>
  <si>
    <t>0013000000roxa9AAA</t>
  </si>
  <si>
    <t>00130000002xDx9AAE</t>
  </si>
  <si>
    <t>0013y00001Z1HKdAAN</t>
  </si>
  <si>
    <t>00130000000Ec9QAAS</t>
  </si>
  <si>
    <t>0013000000roWWwAAM</t>
  </si>
  <si>
    <t>0013000001J7GGpAAN</t>
  </si>
  <si>
    <t>00100000001CwSCAA0</t>
  </si>
  <si>
    <t>0013y00001eZLqIAAW</t>
  </si>
  <si>
    <t>001300000011KbtAAE</t>
  </si>
  <si>
    <t>0013000001JeqNZAAZ</t>
  </si>
  <si>
    <t>0013000001Jxwk9AAB</t>
  </si>
  <si>
    <t>001ed00000XKoouAAD</t>
  </si>
  <si>
    <t>00130000009zAXXAA2</t>
  </si>
  <si>
    <t>00130000016jLZZAA2</t>
  </si>
  <si>
    <t>001ed00000DZtJtAAL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</si>
</sst>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M/d/yyyy"/>
  </numFmts>
  <fonts count="22">
    <font>
      <sz val="10.0"/>
      <color rgb="FF000000"/>
      <name val="Arial"/>
      <scheme val="minor"/>
    </font>
    <font>
      <b/>
      <sz val="13.0"/>
      <color theme="0"/>
      <name val="Arial"/>
      <scheme val="minor"/>
    </font>
    <font>
      <color theme="1"/>
      <name val="Arial"/>
      <scheme val="minor"/>
    </font>
    <font>
      <sz val="11.0"/>
      <color rgb="FF000000"/>
      <name val="Calibri"/>
    </font>
    <font>
      <b/>
      <color rgb="FF000000"/>
      <name val="Arial"/>
    </font>
    <font>
      <color rgb="FF000000"/>
      <name val="Arial"/>
      <scheme val="minor"/>
    </font>
    <font>
      <b/>
      <u/>
      <sz val="16.0"/>
      <color rgb="FF1155CC"/>
    </font>
    <font>
      <color theme="0"/>
      <name val="Arial"/>
      <scheme val="minor"/>
    </font>
    <font>
      <sz val="11.0"/>
      <color theme="1"/>
      <name val="Arial"/>
      <scheme val="minor"/>
    </font>
    <font>
      <sz val="12.0"/>
      <color theme="1"/>
      <name val="Calibri"/>
    </font>
    <font>
      <color theme="1"/>
      <name val="Salesforce Sans"/>
    </font>
    <font>
      <sz val="11.0"/>
      <color rgb="FFFFFFFF"/>
      <name val="Calibri"/>
    </font>
    <font>
      <sz val="11.0"/>
      <color theme="1"/>
      <name val="Calibri"/>
    </font>
    <font>
      <color rgb="FF000000"/>
      <name val="Salesforce Sans"/>
    </font>
    <font>
      <color rgb="FF000000"/>
      <name val="Arial"/>
    </font>
    <font>
      <b/>
      <color theme="1"/>
      <name val="Arial"/>
      <scheme val="minor"/>
    </font>
    <font>
      <strike/>
      <color rgb="FF000000"/>
      <name val="Salesforce Sans"/>
    </font>
    <font>
      <color theme="1"/>
      <name val="Arial"/>
    </font>
    <font>
      <sz val="19.0"/>
      <color theme="1"/>
      <name val="Arial"/>
      <scheme val="minor"/>
    </font>
    <font>
      <b/>
      <color rgb="FFFFFFFF"/>
      <name val="Arial"/>
    </font>
    <font>
      <sz val="12.0"/>
      <color rgb="FFFF0000"/>
      <name val="Arial"/>
      <scheme val="minor"/>
    </font>
    <font>
      <color rgb="FFFF0000"/>
      <name val="Salesforce Sans"/>
    </font>
  </fonts>
  <fills count="14">
    <fill>
      <patternFill patternType="none"/>
    </fill>
    <fill>
      <patternFill patternType="lightGray"/>
    </fill>
    <fill>
      <patternFill patternType="solid">
        <fgColor rgb="FFFF0000"/>
        <bgColor rgb="FFFF0000"/>
      </patternFill>
    </fill>
    <fill>
      <patternFill patternType="solid">
        <fgColor rgb="FF93C47D"/>
        <bgColor rgb="FF93C47D"/>
      </patternFill>
    </fill>
    <fill>
      <patternFill patternType="solid">
        <fgColor rgb="FFFFFF00"/>
        <bgColor rgb="FFFFFF00"/>
      </patternFill>
    </fill>
    <fill>
      <patternFill patternType="solid">
        <fgColor rgb="FFEFEFEF"/>
        <bgColor rgb="FFEFEFEF"/>
      </patternFill>
    </fill>
    <fill>
      <patternFill patternType="solid">
        <fgColor rgb="FF999999"/>
        <bgColor rgb="FF999999"/>
      </patternFill>
    </fill>
    <fill>
      <patternFill patternType="solid">
        <fgColor rgb="FFCFE2F3"/>
        <bgColor rgb="FFCFE2F3"/>
      </patternFill>
    </fill>
    <fill>
      <patternFill patternType="solid">
        <fgColor rgb="FFD9EAD3"/>
        <bgColor rgb="FFD9EAD3"/>
      </patternFill>
    </fill>
    <fill>
      <patternFill patternType="solid">
        <fgColor rgb="FFFF9900"/>
        <bgColor rgb="FFFF9900"/>
      </patternFill>
    </fill>
    <fill>
      <patternFill patternType="solid">
        <fgColor rgb="FF000000"/>
        <bgColor rgb="FF000000"/>
      </patternFill>
    </fill>
    <fill>
      <patternFill patternType="solid">
        <fgColor rgb="FFC9DAF8"/>
        <bgColor rgb="FFC9DAF8"/>
      </patternFill>
    </fill>
    <fill>
      <patternFill patternType="solid">
        <fgColor rgb="FFD9D9D9"/>
        <bgColor rgb="FFD9D9D9"/>
      </patternFill>
    </fill>
    <fill>
      <patternFill patternType="solid">
        <fgColor rgb="FFD9D2E9"/>
        <bgColor rgb="FFD9D2E9"/>
      </patternFill>
    </fill>
  </fills>
  <borders count="5">
    <border/>
    <border>
      <left style="medium">
        <color rgb="FF000000"/>
      </left>
      <right style="medium">
        <color rgb="FF000000"/>
      </right>
      <top style="medium">
        <color rgb="FF000000"/>
      </top>
      <bottom style="medium">
        <color rgb="FF000000"/>
      </bottom>
    </border>
    <border>
      <left style="thin">
        <color rgb="FF9A9A9A"/>
      </left>
      <right style="thin">
        <color rgb="FF9A9A9A"/>
      </right>
      <top style="thin">
        <color rgb="FF000000"/>
      </top>
      <bottom style="thin">
        <color rgb="FF9A9A9A"/>
      </bottom>
    </border>
    <border>
      <left style="thin">
        <color rgb="FF9A9A9A"/>
      </left>
      <right style="thin">
        <color rgb="FF9A9A9A"/>
      </right>
      <top style="thin">
        <color rgb="FF9A9A9A"/>
      </top>
      <bottom style="thin">
        <color rgb="FF9A9A9A"/>
      </bottom>
    </border>
    <border>
      <left style="medium">
        <color rgb="FF000000"/>
      </left>
      <top style="medium">
        <color rgb="FF000000"/>
      </top>
      <bottom style="medium">
        <color rgb="FF000000"/>
      </bottom>
    </border>
  </borders>
  <cellStyleXfs count="1">
    <xf borderId="0" fillId="0" fontId="0" numFmtId="0" applyAlignment="1" applyFont="1"/>
  </cellStyleXfs>
  <cellXfs count="111">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shrinkToFit="0" wrapText="1"/>
    </xf>
    <xf borderId="0" fillId="3" fontId="2" numFmtId="0" xfId="0" applyAlignment="1" applyFill="1" applyFont="1">
      <alignment horizontal="center" readingOrder="0"/>
    </xf>
    <xf borderId="0" fillId="4" fontId="3" numFmtId="0" xfId="0" applyAlignment="1" applyFill="1" applyFont="1">
      <alignment horizontal="center" readingOrder="0" shrinkToFit="0" vertical="bottom" wrapText="1"/>
    </xf>
    <xf borderId="1" fillId="4" fontId="4" numFmtId="0" xfId="0" applyAlignment="1" applyBorder="1" applyFill="1" applyFont="1">
      <alignment vertical="bottom"/>
    </xf>
    <xf borderId="0" fillId="4" fontId="5" numFmtId="0" xfId="0" applyAlignment="1" applyFill="1" applyFont="1">
      <alignment horizontal="center" readingOrder="0" shrinkToFit="0" wrapText="1"/>
    </xf>
    <xf borderId="0" fillId="5" fontId="3" numFmtId="0" xfId="0" applyAlignment="1" applyFill="1" applyFont="1">
      <alignment horizontal="center" readingOrder="0" shrinkToFit="0" vertical="bottom" wrapText="1"/>
    </xf>
    <xf borderId="0" fillId="0" fontId="6" numFmtId="0" xfId="0" applyAlignment="1" applyFont="1">
      <alignment readingOrder="0"/>
    </xf>
    <xf borderId="0" fillId="5" fontId="5" numFmtId="0" xfId="0" applyAlignment="1" applyFill="1" applyFont="1">
      <alignment horizontal="center" readingOrder="0" shrinkToFit="0" wrapText="1"/>
    </xf>
    <xf borderId="0" fillId="5" fontId="3" numFmtId="164" xfId="0" applyAlignment="1" applyFill="1" applyFont="1" applyNumberFormat="1">
      <alignment horizontal="center" readingOrder="0" shrinkToFit="0" vertical="bottom" wrapText="1"/>
    </xf>
    <xf borderId="0" fillId="5" fontId="5" numFmtId="164" xfId="0" applyAlignment="1" applyFill="1" applyFont="1" applyNumberFormat="1">
      <alignment horizontal="center" readingOrder="0" shrinkToFit="0" wrapText="1"/>
    </xf>
    <xf borderId="0" fillId="5" fontId="3" numFmtId="2" xfId="0" applyAlignment="1" applyFill="1" applyFont="1" applyNumberFormat="1">
      <alignment horizontal="center" readingOrder="0" shrinkToFit="0" vertical="bottom" wrapText="1"/>
    </xf>
    <xf borderId="0" fillId="5" fontId="4" numFmtId="164" xfId="0" applyAlignment="1" applyFill="1" applyFont="1" applyNumberFormat="1">
      <alignment horizontal="center" readingOrder="0" shrinkToFit="0" vertical="bottom" wrapText="1"/>
    </xf>
    <xf borderId="0" fillId="6" fontId="7" numFmtId="0" xfId="0" applyAlignment="1" applyFill="1" applyFont="1">
      <alignment horizontal="center" readingOrder="0" shrinkToFit="0" wrapText="1"/>
    </xf>
    <xf borderId="0" fillId="0" fontId="2" numFmtId="0" xfId="0" applyAlignment="1" applyFont="1">
      <alignment horizontal="center" shrinkToFit="0" wrapText="1"/>
    </xf>
    <xf borderId="0" fillId="0" fontId="2" numFmtId="0" xfId="0" applyAlignment="1" applyFont="1">
      <alignment horizontal="center" readingOrder="0" shrinkToFit="0" wrapText="1"/>
    </xf>
    <xf borderId="1" fillId="0" fontId="2" numFmtId="0" xfId="0" applyAlignment="1" applyBorder="1" applyFont="1">
      <alignment horizontal="center" readingOrder="0"/>
    </xf>
    <xf borderId="0" fillId="0" fontId="8" numFmtId="0" xfId="0" applyAlignment="1" applyFont="1">
      <alignment horizontal="center" readingOrder="0"/>
    </xf>
    <xf borderId="2" fillId="0" fontId="9" numFmtId="0" xfId="0" applyAlignment="1" applyBorder="1" applyFont="1">
      <alignment vertical="bottom"/>
    </xf>
    <xf borderId="1" fillId="4" fontId="4" numFmtId="0" xfId="0" applyAlignment="1" applyBorder="1" applyFill="1" applyFont="1">
      <alignment readingOrder="0" vertical="bottom"/>
    </xf>
    <xf borderId="0" fillId="7" fontId="2" numFmtId="0" xfId="0" applyAlignment="1" applyFill="1" applyFont="1">
      <alignment horizontal="center" readingOrder="0" shrinkToFit="0" wrapText="1"/>
    </xf>
    <xf borderId="0" fillId="5" fontId="5" numFmtId="0" xfId="0" applyAlignment="1" applyFill="1" applyFont="1">
      <alignment horizontal="center" readingOrder="0" shrinkToFit="0" wrapText="1"/>
    </xf>
    <xf borderId="0" fillId="5" fontId="5" numFmtId="2" xfId="0" applyAlignment="1" applyFill="1" applyFont="1" applyNumberFormat="1">
      <alignment horizontal="center" readingOrder="0" shrinkToFit="0" wrapText="1"/>
    </xf>
    <xf borderId="0" fillId="5" fontId="2" numFmtId="0" xfId="0" applyAlignment="1" applyFill="1" applyFont="1">
      <alignment horizontal="center" shrinkToFit="0" wrapText="1"/>
    </xf>
    <xf borderId="0" fillId="0" fontId="2" numFmtId="0" xfId="0" applyAlignment="1" applyFont="1">
      <alignment horizontal="center" readingOrder="0" vertical="center"/>
    </xf>
    <xf borderId="0" fillId="0" fontId="2" numFmtId="0" xfId="0" applyAlignment="1" applyFont="1">
      <alignment readingOrder="0"/>
    </xf>
    <xf borderId="0" fillId="0" fontId="10" numFmtId="0" xfId="0" applyAlignment="1" applyFont="1">
      <alignment readingOrder="0" vertical="bottom"/>
    </xf>
    <xf borderId="0" fillId="0" fontId="2" numFmtId="0" xfId="0" applyAlignment="1" applyFont="1">
      <alignment horizontal="center" readingOrder="0"/>
    </xf>
    <xf borderId="3" fillId="0" fontId="9" numFmtId="0" xfId="0" applyAlignment="1" applyBorder="1" applyFont="1">
      <alignment readingOrder="0" vertical="bottom"/>
    </xf>
    <xf borderId="1" fillId="6" fontId="11" numFmtId="0" xfId="0" applyAlignment="1" applyBorder="1" applyFill="1" applyFont="1">
      <alignment vertical="bottom"/>
    </xf>
    <xf borderId="0" fillId="8" fontId="10" numFmtId="0" xfId="0" applyAlignment="1" applyFill="1" applyFont="1">
      <alignment readingOrder="0" vertical="bottom"/>
    </xf>
    <xf borderId="0" fillId="5" fontId="13" numFmtId="0" xfId="0" applyAlignment="1" applyFill="1" applyFont="1">
      <alignment horizontal="center" readingOrder="0" vertical="bottom"/>
    </xf>
    <xf borderId="0" fillId="9" fontId="12" numFmtId="1" xfId="0" applyAlignment="1" applyFill="1" applyFont="1" applyNumberFormat="1">
      <alignment horizontal="right" readingOrder="0" vertical="bottom"/>
    </xf>
    <xf borderId="0" fillId="5" fontId="14" numFmtId="0" xfId="0" applyAlignment="1" applyFill="1" applyFont="1">
      <alignment readingOrder="0" vertical="bottom"/>
    </xf>
    <xf borderId="0" fillId="0" fontId="15" numFmtId="0" xfId="0" applyAlignment="1" applyFont="1">
      <alignment readingOrder="0"/>
    </xf>
    <xf borderId="0" fillId="5" fontId="14" numFmtId="10" xfId="0" applyAlignment="1" applyFill="1" applyFont="1" applyNumberFormat="1">
      <alignment readingOrder="0" vertical="bottom"/>
    </xf>
    <xf borderId="0" fillId="5" fontId="13" numFmtId="10" xfId="0" applyAlignment="1" applyFill="1" applyFont="1" applyNumberFormat="1">
      <alignment horizontal="center" readingOrder="0" vertical="bottom"/>
    </xf>
    <xf borderId="0" fillId="5" fontId="16" numFmtId="10" xfId="0" applyAlignment="1" applyFill="1" applyFont="1" applyNumberFormat="1">
      <alignment horizontal="center" readingOrder="0" vertical="bottom"/>
    </xf>
    <xf borderId="0" fillId="5" fontId="13" numFmtId="2" xfId="0" applyAlignment="1" applyFill="1" applyFont="1" applyNumberFormat="1">
      <alignment horizontal="center" readingOrder="0" vertical="bottom"/>
    </xf>
    <xf borderId="0" fillId="9" fontId="12" numFmtId="10" xfId="0" applyAlignment="1" applyFill="1" applyFont="1" applyNumberFormat="1">
      <alignment horizontal="right" readingOrder="0" vertical="bottom"/>
    </xf>
    <xf borderId="0" fillId="5" fontId="14" numFmtId="2" xfId="0" applyAlignment="1" applyFill="1" applyFont="1" applyNumberFormat="1">
      <alignment readingOrder="0" vertical="bottom"/>
    </xf>
    <xf borderId="0" fillId="5" fontId="17" numFmtId="10" xfId="0" applyAlignment="1" applyFill="1" applyFont="1" applyNumberFormat="1">
      <alignment vertical="bottom"/>
    </xf>
    <xf borderId="0" fillId="0" fontId="17" numFmtId="0" xfId="0" applyAlignment="1" applyFont="1">
      <alignment readingOrder="0" vertical="bottom"/>
    </xf>
    <xf borderId="0" fillId="0" fontId="10" numFmtId="0" xfId="0" applyAlignment="1" applyFont="1">
      <alignment horizontal="center" vertical="bottom"/>
    </xf>
    <xf borderId="0" fillId="9" fontId="12" numFmtId="4" xfId="0" applyAlignment="1" applyFill="1" applyFont="1" applyNumberFormat="1">
      <alignment readingOrder="0" vertical="bottom"/>
    </xf>
    <xf borderId="0" fillId="9" fontId="12" numFmtId="2" xfId="0" applyAlignment="1" applyFill="1" applyFont="1" applyNumberFormat="1">
      <alignment horizontal="right" readingOrder="0" vertical="bottom"/>
    </xf>
    <xf borderId="3" fillId="0" fontId="17" numFmtId="0" xfId="0" applyAlignment="1" applyBorder="1" applyFont="1">
      <alignment vertical="bottom"/>
    </xf>
    <xf borderId="0" fillId="5" fontId="13" numFmtId="0" xfId="0" applyAlignment="1" applyFill="1" applyFont="1">
      <alignment horizontal="center" readingOrder="0" vertical="bottom"/>
    </xf>
    <xf borderId="0" fillId="0" fontId="12" numFmtId="9" xfId="0" applyAlignment="1" applyFont="1" applyNumberFormat="1">
      <alignment vertical="bottom"/>
    </xf>
    <xf borderId="0" fillId="0" fontId="12" numFmtId="10" xfId="0" applyAlignment="1" applyFont="1" applyNumberFormat="1">
      <alignment horizontal="center" readingOrder="0" vertical="bottom"/>
    </xf>
    <xf borderId="0" fillId="5" fontId="14" numFmtId="0" xfId="0" applyAlignment="1" applyFill="1" applyFont="1">
      <alignment readingOrder="0" vertical="bottom"/>
    </xf>
    <xf borderId="0" fillId="0" fontId="17" numFmtId="164" xfId="0" applyAlignment="1" applyFont="1" applyNumberFormat="1">
      <alignment horizontal="center" vertical="bottom"/>
    </xf>
    <xf borderId="0" fillId="0" fontId="2" numFmtId="0" xfId="0" applyAlignment="1" applyFont="1">
      <alignment horizontal="center"/>
    </xf>
    <xf borderId="0" fillId="5" fontId="16" numFmtId="0" xfId="0" applyAlignment="1" applyFill="1" applyFont="1">
      <alignment horizontal="center" readingOrder="0" vertical="bottom"/>
    </xf>
    <xf borderId="0" fillId="0" fontId="17" numFmtId="10" xfId="0" applyAlignment="1" applyFont="1" applyNumberFormat="1">
      <alignment vertical="bottom"/>
    </xf>
    <xf borderId="0" fillId="0" fontId="10" numFmtId="10" xfId="0" applyAlignment="1" applyFont="1" applyNumberFormat="1">
      <alignment vertical="bottom"/>
    </xf>
    <xf borderId="3" fillId="0" fontId="9" numFmtId="0" xfId="0" applyAlignment="1" applyBorder="1" applyFont="1">
      <alignment vertical="bottom"/>
    </xf>
    <xf borderId="0" fillId="0" fontId="18" numFmtId="0" xfId="0" applyAlignment="1" applyFont="1">
      <alignment horizontal="center" vertical="center"/>
    </xf>
    <xf borderId="0" fillId="5" fontId="5" numFmtId="10" xfId="0" applyAlignment="1" applyFill="1" applyFont="1" applyNumberFormat="1">
      <alignment horizontal="center" readingOrder="0" shrinkToFit="0" wrapText="1"/>
    </xf>
    <xf borderId="0" fillId="5" fontId="2" numFmtId="0" xfId="0" applyAlignment="1" applyFill="1" applyFont="1">
      <alignment horizontal="center" readingOrder="0" shrinkToFit="0" wrapText="1"/>
    </xf>
    <xf borderId="1" fillId="6" fontId="19" numFmtId="0" xfId="0" applyAlignment="1" applyBorder="1" applyFill="1" applyFont="1">
      <alignment readingOrder="0" shrinkToFit="0" vertical="bottom" wrapText="1"/>
    </xf>
    <xf borderId="0" fillId="10" fontId="2" numFmtId="0" xfId="0" applyFill="1" applyFont="1"/>
    <xf borderId="0" fillId="10" fontId="2" numFmtId="0" xfId="0" applyAlignment="1" applyFill="1" applyFont="1">
      <alignment horizontal="center"/>
    </xf>
    <xf borderId="1" fillId="6" fontId="11" numFmtId="0" xfId="0" applyAlignment="1" applyBorder="1" applyFill="1" applyFont="1">
      <alignment shrinkToFit="0" vertical="bottom" wrapText="1"/>
    </xf>
    <xf borderId="0" fillId="0" fontId="10" numFmtId="0" xfId="0" applyAlignment="1" applyFont="1">
      <alignment vertical="bottom"/>
    </xf>
    <xf borderId="0" fillId="8" fontId="10" numFmtId="0" xfId="0" applyAlignment="1" applyFill="1" applyFont="1">
      <alignment vertical="bottom"/>
    </xf>
    <xf borderId="0" fillId="5" fontId="16" numFmtId="10" xfId="0" applyAlignment="1" applyFill="1" applyFont="1" applyNumberFormat="1">
      <alignment horizontal="center" vertical="bottom"/>
    </xf>
    <xf borderId="0" fillId="0" fontId="2" numFmtId="0" xfId="0" applyFont="1"/>
    <xf borderId="0" fillId="0" fontId="2" numFmtId="1" xfId="0" applyAlignment="1" applyFont="1" applyNumberFormat="1">
      <alignment horizontal="center"/>
    </xf>
    <xf borderId="0" fillId="5" fontId="17" numFmtId="0" xfId="0" applyAlignment="1" applyFill="1" applyFont="1">
      <alignment readingOrder="0" vertical="bottom"/>
    </xf>
    <xf borderId="0" fillId="6" fontId="7" numFmtId="0" xfId="0" applyFill="1" applyFont="1"/>
    <xf borderId="0" fillId="5" fontId="13" numFmtId="0" xfId="0" applyAlignment="1" applyFill="1" applyFont="1">
      <alignment horizontal="center" vertical="bottom"/>
    </xf>
    <xf borderId="0" fillId="5" fontId="14" numFmtId="0" xfId="0" applyAlignment="1" applyFill="1" applyFont="1">
      <alignment horizontal="right" vertical="bottom"/>
    </xf>
    <xf borderId="0" fillId="5" fontId="14" numFmtId="10" xfId="0" applyAlignment="1" applyFill="1" applyFont="1" applyNumberFormat="1">
      <alignment horizontal="right" vertical="bottom"/>
    </xf>
    <xf borderId="0" fillId="5" fontId="13" numFmtId="10" xfId="0" applyAlignment="1" applyFill="1" applyFont="1" applyNumberFormat="1">
      <alignment horizontal="center" vertical="bottom"/>
    </xf>
    <xf borderId="0" fillId="5" fontId="16" numFmtId="0" xfId="0" applyAlignment="1" applyFill="1" applyFont="1">
      <alignment horizontal="center" vertical="bottom"/>
    </xf>
    <xf borderId="0" fillId="5" fontId="13" numFmtId="2" xfId="0" applyAlignment="1" applyFill="1" applyFont="1" applyNumberFormat="1">
      <alignment horizontal="center" vertical="bottom"/>
    </xf>
    <xf borderId="0" fillId="5" fontId="14" numFmtId="2" xfId="0" applyAlignment="1" applyFill="1" applyFont="1" applyNumberFormat="1">
      <alignment horizontal="right" vertical="bottom"/>
    </xf>
    <xf borderId="0" fillId="0" fontId="17" numFmtId="0" xfId="0" applyAlignment="1" applyFont="1">
      <alignment vertical="bottom"/>
    </xf>
    <xf borderId="0" fillId="0" fontId="2" numFmtId="10" xfId="0" applyAlignment="1" applyFont="1" applyNumberFormat="1">
      <alignment horizontal="center"/>
    </xf>
    <xf borderId="0" fillId="0" fontId="2" numFmtId="164" xfId="0" applyAlignment="1" applyFont="1" applyNumberFormat="1">
      <alignment horizontal="center"/>
    </xf>
    <xf borderId="0" fillId="0" fontId="2" numFmtId="165" xfId="0" applyAlignment="1" applyFont="1" applyNumberFormat="1">
      <alignment horizontal="center" shrinkToFit="0" wrapText="1"/>
    </xf>
    <xf borderId="0" fillId="5" fontId="13" numFmtId="1" xfId="0" applyAlignment="1" applyFill="1" applyFont="1" applyNumberFormat="1">
      <alignment horizontal="center" readingOrder="0" vertical="bottom"/>
    </xf>
    <xf borderId="0" fillId="5" fontId="14" numFmtId="0" xfId="0" applyAlignment="1" applyFill="1" applyFont="1">
      <alignment vertical="bottom"/>
    </xf>
    <xf borderId="0" fillId="11" fontId="2" numFmtId="2" xfId="0" applyAlignment="1" applyFill="1" applyFont="1" applyNumberFormat="1">
      <alignment horizontal="center"/>
    </xf>
    <xf borderId="0" fillId="5" fontId="14" numFmtId="10" xfId="0" applyAlignment="1" applyFill="1" applyFont="1" applyNumberFormat="1">
      <alignment vertical="bottom"/>
    </xf>
    <xf borderId="0" fillId="5" fontId="14" numFmtId="2" xfId="0" applyAlignment="1" applyFill="1" applyFont="1" applyNumberFormat="1">
      <alignment vertical="bottom"/>
    </xf>
    <xf borderId="0" fillId="0" fontId="10" numFmtId="165" xfId="0" applyAlignment="1" applyFont="1" applyNumberFormat="1">
      <alignment vertical="bottom"/>
    </xf>
    <xf borderId="0" fillId="0" fontId="2" numFmtId="2" xfId="0" applyAlignment="1" applyFont="1" applyNumberFormat="1">
      <alignment horizontal="center"/>
    </xf>
    <xf borderId="4" fillId="6" fontId="11" numFmtId="0" xfId="0" applyAlignment="1" applyBorder="1" applyFill="1" applyFont="1">
      <alignment shrinkToFit="0" vertical="bottom" wrapText="1"/>
    </xf>
    <xf borderId="0" fillId="11" fontId="2" numFmtId="10" xfId="0" applyAlignment="1" applyFill="1" applyFont="1" applyNumberFormat="1">
      <alignment horizontal="center" readingOrder="0" shrinkToFit="0" wrapText="1"/>
    </xf>
    <xf borderId="0" fillId="11" fontId="2" numFmtId="164" xfId="0" applyAlignment="1" applyFill="1" applyFont="1" applyNumberFormat="1">
      <alignment horizontal="center" readingOrder="0"/>
    </xf>
    <xf borderId="0" fillId="11" fontId="2" numFmtId="164" xfId="0" applyAlignment="1" applyFill="1" applyFont="1" applyNumberFormat="1">
      <alignment horizontal="center"/>
    </xf>
    <xf borderId="0" fillId="0" fontId="2" numFmtId="164" xfId="0" applyFont="1" applyNumberFormat="1"/>
    <xf borderId="0" fillId="0" fontId="20" numFmtId="0" xfId="0" applyAlignment="1" applyFont="1">
      <alignment horizontal="center" readingOrder="0"/>
    </xf>
    <xf borderId="0" fillId="0" fontId="21" numFmtId="0" xfId="0" applyAlignment="1" applyFont="1">
      <alignment vertical="bottom"/>
    </xf>
    <xf borderId="0" fillId="12" fontId="2" numFmtId="0" xfId="0" applyAlignment="1" applyFill="1" applyFont="1">
      <alignment horizontal="center" readingOrder="0"/>
    </xf>
    <xf borderId="0" fillId="13" fontId="2" numFmtId="0" xfId="0" applyAlignment="1" applyFill="1" applyFont="1">
      <alignment horizontal="center" readingOrder="0" shrinkToFit="0" vertical="center" wrapText="1"/>
    </xf>
    <xf borderId="0" fillId="13" fontId="2" numFmtId="0" xfId="0" applyAlignment="1" applyFill="1" applyFont="1">
      <alignment horizontal="center" shrinkToFit="0" vertical="center" wrapText="1"/>
    </xf>
    <xf borderId="0" fillId="0" fontId="2" numFmtId="165" xfId="0" applyFont="1" applyNumberFormat="1"/>
    <xf borderId="0" fillId="0" fontId="9" numFmtId="0" xfId="0" applyAlignment="1" applyFont="1">
      <alignment vertical="bottom"/>
    </xf>
    <xf borderId="0" fillId="0" fontId="2" numFmtId="10" xfId="0" applyAlignment="1" applyFont="1" applyNumberFormat="1">
      <alignment horizontal="center" readingOrder="0"/>
    </xf>
    <xf borderId="0" fillId="0" fontId="9" numFmtId="0" xfId="0" applyAlignment="1" applyFont="1">
      <alignment readingOrder="0" vertical="bottom"/>
    </xf>
    <xf borderId="0" fillId="0" fontId="17" numFmtId="0" xfId="0" applyAlignment="1" applyFont="1">
      <alignment vertical="bottom"/>
    </xf>
    <xf borderId="0" fillId="5" fontId="13" numFmtId="4" xfId="0" applyAlignment="1" applyFill="1" applyFont="1" applyNumberFormat="1">
      <alignment horizontal="center" readingOrder="0" vertical="bottom"/>
    </xf>
    <xf borderId="0" fillId="5" fontId="14" numFmtId="10" xfId="0" applyAlignment="1" applyFill="1" applyFont="1" applyNumberFormat="1">
      <alignment horizontal="center" readingOrder="0" vertical="bottom"/>
    </xf>
    <xf borderId="0" fillId="0" fontId="17" numFmtId="10" xfId="0" applyAlignment="1" applyFont="1" applyNumberFormat="1">
      <alignment readingOrder="0" vertical="bottom"/>
    </xf>
    <xf borderId="0" fillId="0" fontId="2" numFmtId="10" xfId="0" applyAlignment="1" applyFont="1" applyNumberFormat="1">
      <alignment readingOrder="0"/>
    </xf>
    <xf borderId="0" fillId="5" fontId="14" numFmtId="4" xfId="0" applyAlignment="1" applyFill="1" applyFont="1" applyNumberFormat="1">
      <alignment readingOrder="0" vertical="bottom"/>
    </xf>
    <xf borderId="0" fillId="8" fontId="2" numFmtId="10" xfId="0" applyAlignment="1" applyFill="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65bacddd-738b-4eff-a37b-5ade2f28a148}">
    <Anchor>
      <Comment id="{35d4f27a-2eb6-42e7-9081-aef337138e74}"/>
    </Anchor>
    <History>
      <Event time="2025-06-11T20:01:53.00" id="{1ec98c35-5d99-490e-b86f-3261661c9fac}">
        <Attribution userId="placeholder@email.com" userName="Jennifer Meacham" userProvider="google-sheets"/>
        <Anchor>
          <Comment id="{35d4f27a-2eb6-42e7-9081-aef337138e74}"/>
        </Anchor>
        <Create/>
      </Event>
      <Event time="2025-06-11T20:01:53.00" id="{e3ee820b-aad7-4da0-af50-4c9ce1bc8c37}">
        <Attribution userId="placeholder@email.com" userName="Jennifer Meacham" userProvider="google-sheets"/>
        <Anchor>
          <Comment id="{35d4f27a-2eb6-42e7-9081-aef337138e74}"/>
        </Anchor>
        <Assign userId="marygrace.davis@salesforce.com" userName="marygrace.davis@salesforce.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695325</xdr:colOff>
      <xdr:row>5</xdr:row>
      <xdr:rowOff>219075</xdr:rowOff>
    </xdr:from>
    <xdr:ext cx="1914525" cy="714375"/>
    <xdr:grpSp>
      <xdr:nvGrpSpPr>
        <xdr:cNvPr id="2" name="Shape 2" title="Drawing"/>
        <xdr:cNvGrpSpPr/>
      </xdr:nvGrpSpPr>
      <xdr:grpSpPr>
        <a:xfrm>
          <a:off x="2581250" y="1244925"/>
          <a:ext cx="1899300" cy="693300"/>
          <a:chOff x="2581250" y="1244925"/>
          <a:chExt cx="1899300" cy="693300"/>
        </a:xfrm>
      </xdr:grpSpPr>
      <xdr:sp>
        <xdr:nvSpPr>
          <xdr:cNvPr id="3" name="Shape 3"/>
          <xdr:cNvSpPr/>
        </xdr:nvSpPr>
        <xdr:spPr>
          <a:xfrm>
            <a:off x="2581250" y="1244925"/>
            <a:ext cx="1899300" cy="693300"/>
          </a:xfrm>
          <a:prstGeom prst="roundRect">
            <a:avLst>
              <a:gd fmla="val 16667" name="adj"/>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 name="Shape 4"/>
          <xdr:cNvSpPr txBox="1"/>
        </xdr:nvSpPr>
        <xdr:spPr>
          <a:xfrm>
            <a:off x="2581250" y="1268325"/>
            <a:ext cx="1899300" cy="6465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3000">
                <a:solidFill>
                  <a:srgbClr val="FFFFFF"/>
                </a:solidFill>
              </a:rPr>
              <a:t>Submit</a:t>
            </a:r>
            <a:endParaRPr sz="3000">
              <a:solidFill>
                <a:srgbClr val="FFFFFF"/>
              </a:solidFill>
            </a:endParaRPr>
          </a:p>
        </xdr:txBody>
      </xdr:sp>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ichael Thornton" id="{edc5cde7-28ce-4c2e-b26d-acd0d687580f}" providerId="google-sheets"/>
  <x18tc:person displayName="marygrace.davis@salesforce.com" id="{8b9a4e26-a38f-40e3-8276-025d053fbd67}" userId="marygrace.davis@salesforce.com" providerId="google-sheets"/>
  <x18tc:person displayName="Jennifer Meacham" id="{d1263ab3-763c-4a1e-9f2c-5b1afe40f14a}" providerId="google-sheets"/>
  <x18tc:person displayName="pwadehra@salesforce.com" id="{e2721a4a-8ccd-49b6-8f6b-4c535d1901ef}" userId="pwadehra@salesforce.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7" dT="2025-06-11T20:01:53.00" personId="{d1263ab3-763c-4a1e-9f2c-5b1afe40f14a}" id="{35d4f27a-2eb6-42e7-9081-aef337138e74}" done="1">
    <x18tc:text xml:space="preserve">@marygrace.davis@salesforce.com we entered in TG's numbers from ana report and got these peer comparison outputs. we are wondering where B17 came from how this was calculated?CC @pwadehra@salesforce.com
Assigned to marygrace.davis@salesforce.com</x18tc:text>
    <x18tc:mentions>
      <x18tc:mention mentionpersonId="{8b9a4e26-a38f-40e3-8276-025d053fbd67}" mentionId="{28db0319-252e-4461-b1b0-be6106f405ee}" startIndex="0" length="31"/>
      <x18tc:mention mentionpersonId="{e2721a4a-8ccd-49b6-8f6b-4c535d1901ef}" mentionId="{ecb08157-a3d5-450b-8327-2fecae14d7c7}" startIndex="178" length="24"/>
    </x18tc:mentions>
  </x18tc:threadedComment>
  <x18tc:threadedComment ref="C17" dT="2025-06-11T20:19:14.00" personId="{edc5cde7-28ce-4c2e-b26d-acd0d687580f}" id="{de22d710-6f86-4cbd-9b47-c5d542959c50}" parentId="{35d4f27a-2eb6-42e7-9081-aef337138e74}">
    <x18tc:text xml:space="preserve">Marked as done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hGKg3NYeb_aZ8TpKa6hgYabBHpdeK6bJ/view?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75"/>
  </cols>
  <sheetData>
    <row r="1">
      <c r="A1" s="1" t="s">
        <v>0</v>
      </c>
    </row>
    <row r="2">
      <c r="A2" s="2" t="s">
        <v>1</v>
      </c>
    </row>
    <row r="4">
      <c r="A4" s="8" t="s">
        <v>2</v>
      </c>
    </row>
  </sheetData>
  <hyperlinks>
    <hyperlink r:id="rId1" ref="A4"/>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88"/>
    <col customWidth="1" min="2" max="2" width="31.38"/>
  </cols>
  <sheetData>
    <row r="1">
      <c r="A1" s="5" t="s">
        <v>3</v>
      </c>
      <c r="B1" s="17"/>
    </row>
    <row r="2">
      <c r="A2" s="20" t="s">
        <v>5</v>
      </c>
      <c r="B2" s="17"/>
      <c r="C2" s="26" t="s">
        <v>28</v>
      </c>
    </row>
    <row r="3">
      <c r="A3" s="30" t="s">
        <v>6</v>
      </c>
      <c r="B3" s="33"/>
    </row>
    <row r="4">
      <c r="A4" s="30" t="s">
        <v>7</v>
      </c>
      <c r="B4" s="33"/>
      <c r="E4" s="35"/>
    </row>
    <row r="5">
      <c r="A5" s="30" t="s">
        <v>8</v>
      </c>
      <c r="B5" s="33"/>
    </row>
    <row r="6">
      <c r="A6" s="30" t="s">
        <v>9</v>
      </c>
      <c r="B6" s="33"/>
    </row>
    <row r="7">
      <c r="A7" s="30" t="s">
        <v>10</v>
      </c>
      <c r="B7" s="33"/>
    </row>
    <row r="8">
      <c r="A8" s="30" t="s">
        <v>11</v>
      </c>
      <c r="B8" s="33"/>
    </row>
    <row r="9">
      <c r="A9" s="30" t="s">
        <v>12</v>
      </c>
      <c r="B9" s="40"/>
    </row>
    <row r="10">
      <c r="A10" s="30" t="s">
        <v>13</v>
      </c>
      <c r="B10" s="40"/>
    </row>
    <row r="11">
      <c r="A11" s="30" t="s">
        <v>14</v>
      </c>
      <c r="B11" s="40"/>
    </row>
    <row r="12">
      <c r="A12" s="30" t="s">
        <v>15</v>
      </c>
      <c r="B12" s="40"/>
    </row>
    <row r="13">
      <c r="A13" s="30" t="s">
        <v>16</v>
      </c>
      <c r="B13" s="45"/>
    </row>
    <row r="14">
      <c r="A14" s="30" t="s">
        <v>17</v>
      </c>
      <c r="B14" s="46"/>
    </row>
    <row r="15">
      <c r="A15" s="30" t="s">
        <v>18</v>
      </c>
      <c r="B15" s="46"/>
    </row>
    <row r="16">
      <c r="A16" s="30" t="s">
        <v>19</v>
      </c>
      <c r="B16" s="40"/>
    </row>
    <row r="17">
      <c r="A17" s="30" t="s">
        <v>20</v>
      </c>
      <c r="B17" s="40"/>
    </row>
    <row r="18">
      <c r="B18" s="49"/>
    </row>
    <row r="19">
      <c r="B19" s="50"/>
    </row>
    <row r="20">
      <c r="B20" s="52"/>
    </row>
    <row r="21">
      <c r="B21" s="53"/>
    </row>
    <row r="22">
      <c r="B22" s="53"/>
    </row>
    <row r="23">
      <c r="B23" s="53"/>
    </row>
    <row r="24">
      <c r="B24" s="53"/>
    </row>
    <row r="25">
      <c r="B25" s="53"/>
    </row>
    <row r="26">
      <c r="B26" s="53"/>
    </row>
    <row r="27">
      <c r="B27" s="53"/>
    </row>
    <row r="28">
      <c r="B28" s="53"/>
    </row>
    <row r="29">
      <c r="B29" s="53"/>
    </row>
    <row r="30">
      <c r="B30" s="53"/>
    </row>
    <row r="31">
      <c r="B31" s="53"/>
    </row>
    <row r="32">
      <c r="B32" s="53"/>
    </row>
    <row r="33">
      <c r="B33" s="53"/>
    </row>
    <row r="34">
      <c r="B34" s="53"/>
    </row>
    <row r="35">
      <c r="B35" s="53"/>
    </row>
    <row r="36">
      <c r="B36" s="53"/>
    </row>
    <row r="37">
      <c r="B37" s="53"/>
    </row>
    <row r="38">
      <c r="B38" s="53"/>
    </row>
    <row r="39">
      <c r="B39" s="53"/>
    </row>
    <row r="40">
      <c r="B40" s="53"/>
    </row>
    <row r="41">
      <c r="B41" s="53"/>
    </row>
    <row r="42">
      <c r="B42" s="53"/>
    </row>
    <row r="43">
      <c r="B43" s="53"/>
    </row>
    <row r="44">
      <c r="B44" s="53"/>
    </row>
    <row r="45">
      <c r="B45" s="53"/>
    </row>
    <row r="46">
      <c r="B46" s="53"/>
    </row>
    <row r="47">
      <c r="B47" s="53"/>
    </row>
    <row r="48">
      <c r="B48" s="53"/>
    </row>
    <row r="49">
      <c r="B49" s="53"/>
    </row>
    <row r="50">
      <c r="B50" s="53"/>
    </row>
    <row r="51">
      <c r="B51" s="53"/>
    </row>
    <row r="52">
      <c r="B52" s="53"/>
    </row>
    <row r="53">
      <c r="B53" s="53"/>
    </row>
    <row r="54">
      <c r="B54" s="53"/>
    </row>
    <row r="55">
      <c r="B55" s="53"/>
    </row>
    <row r="56">
      <c r="B56" s="53"/>
    </row>
    <row r="57">
      <c r="B57" s="53"/>
    </row>
    <row r="58">
      <c r="B58" s="53"/>
    </row>
    <row r="59">
      <c r="B59" s="53"/>
    </row>
    <row r="60">
      <c r="B60" s="53"/>
    </row>
    <row r="61">
      <c r="B61" s="53"/>
    </row>
    <row r="62">
      <c r="B62" s="53"/>
    </row>
    <row r="63">
      <c r="B63" s="53"/>
    </row>
    <row r="64">
      <c r="B64" s="53"/>
    </row>
    <row r="65">
      <c r="B65" s="53"/>
    </row>
    <row r="66">
      <c r="B66" s="53"/>
    </row>
    <row r="67">
      <c r="B67" s="53"/>
    </row>
    <row r="68">
      <c r="B68" s="53"/>
    </row>
    <row r="69">
      <c r="B69" s="53"/>
    </row>
    <row r="70">
      <c r="B70" s="53"/>
    </row>
    <row r="71">
      <c r="B71" s="53"/>
    </row>
    <row r="72">
      <c r="B72" s="53"/>
    </row>
    <row r="73">
      <c r="B73" s="53"/>
    </row>
    <row r="74">
      <c r="B74" s="53"/>
    </row>
    <row r="75">
      <c r="B75" s="53"/>
    </row>
    <row r="76">
      <c r="B76" s="53"/>
    </row>
    <row r="77">
      <c r="B77" s="53"/>
    </row>
    <row r="78">
      <c r="B78" s="53"/>
    </row>
    <row r="79">
      <c r="B79" s="53"/>
    </row>
    <row r="80">
      <c r="B80" s="53"/>
    </row>
    <row r="81">
      <c r="B81" s="53"/>
    </row>
    <row r="82">
      <c r="B82" s="53"/>
    </row>
    <row r="83">
      <c r="B83" s="53"/>
    </row>
    <row r="84">
      <c r="B84" s="53"/>
    </row>
    <row r="85">
      <c r="B85" s="53"/>
    </row>
    <row r="86">
      <c r="B86" s="53"/>
    </row>
    <row r="87">
      <c r="B87" s="53"/>
    </row>
    <row r="88">
      <c r="B88" s="53"/>
    </row>
    <row r="89">
      <c r="B89" s="53"/>
    </row>
    <row r="90">
      <c r="B90" s="53"/>
    </row>
    <row r="91">
      <c r="B91" s="53"/>
    </row>
    <row r="92">
      <c r="B92" s="53"/>
    </row>
    <row r="93">
      <c r="B93" s="53"/>
    </row>
    <row r="94">
      <c r="B94" s="53"/>
    </row>
    <row r="95">
      <c r="B95" s="53"/>
    </row>
    <row r="96">
      <c r="B96" s="53"/>
    </row>
    <row r="97">
      <c r="B97" s="53"/>
    </row>
    <row r="98">
      <c r="B98" s="53"/>
    </row>
    <row r="99">
      <c r="B99" s="53"/>
    </row>
    <row r="100">
      <c r="B100" s="53"/>
    </row>
    <row r="101">
      <c r="B101" s="53"/>
    </row>
    <row r="102">
      <c r="B102" s="53"/>
    </row>
    <row r="103">
      <c r="B103" s="53"/>
    </row>
    <row r="104">
      <c r="B104" s="53"/>
    </row>
    <row r="105">
      <c r="B105" s="53"/>
    </row>
    <row r="106">
      <c r="B106" s="53"/>
    </row>
    <row r="107">
      <c r="B107" s="53"/>
    </row>
    <row r="108">
      <c r="B108" s="53"/>
    </row>
    <row r="109">
      <c r="B109" s="53"/>
    </row>
    <row r="110">
      <c r="B110" s="53"/>
    </row>
    <row r="111">
      <c r="B111" s="53"/>
    </row>
    <row r="112">
      <c r="B112" s="53"/>
    </row>
    <row r="113">
      <c r="B113" s="53"/>
    </row>
    <row r="114">
      <c r="B114" s="53"/>
    </row>
    <row r="115">
      <c r="B115" s="53"/>
    </row>
    <row r="116">
      <c r="B116" s="53"/>
    </row>
    <row r="117">
      <c r="B117" s="53"/>
    </row>
    <row r="118">
      <c r="B118" s="53"/>
    </row>
    <row r="119">
      <c r="B119" s="53"/>
    </row>
    <row r="120">
      <c r="B120" s="53"/>
    </row>
    <row r="121">
      <c r="B121" s="53"/>
    </row>
    <row r="122">
      <c r="B122" s="53"/>
    </row>
    <row r="123">
      <c r="B123" s="53"/>
    </row>
    <row r="124">
      <c r="B124" s="53"/>
    </row>
    <row r="125">
      <c r="B125" s="53"/>
    </row>
    <row r="126">
      <c r="B126" s="53"/>
    </row>
    <row r="127">
      <c r="B127" s="53"/>
    </row>
    <row r="128">
      <c r="B128" s="53"/>
    </row>
    <row r="129">
      <c r="B129" s="53"/>
    </row>
    <row r="130">
      <c r="B130" s="53"/>
    </row>
    <row r="131">
      <c r="B131" s="53"/>
    </row>
    <row r="132">
      <c r="B132" s="53"/>
    </row>
    <row r="133">
      <c r="B133" s="53"/>
    </row>
    <row r="134">
      <c r="B134" s="53"/>
    </row>
    <row r="135">
      <c r="B135" s="53"/>
    </row>
    <row r="136">
      <c r="B136" s="53"/>
    </row>
    <row r="137">
      <c r="B137" s="53"/>
    </row>
    <row r="138">
      <c r="B138" s="53"/>
    </row>
    <row r="139">
      <c r="B139" s="53"/>
    </row>
    <row r="140">
      <c r="B140" s="53"/>
    </row>
    <row r="141">
      <c r="B141" s="53"/>
    </row>
    <row r="142">
      <c r="B142" s="53"/>
    </row>
    <row r="143">
      <c r="B143" s="53"/>
    </row>
    <row r="144">
      <c r="B144" s="53"/>
    </row>
    <row r="145">
      <c r="B145" s="53"/>
    </row>
    <row r="146">
      <c r="B146" s="53"/>
    </row>
    <row r="147">
      <c r="B147" s="53"/>
    </row>
    <row r="148">
      <c r="B148" s="53"/>
    </row>
    <row r="149">
      <c r="B149" s="53"/>
    </row>
    <row r="150">
      <c r="B150" s="53"/>
    </row>
    <row r="151">
      <c r="B151" s="53"/>
    </row>
    <row r="152">
      <c r="B152" s="53"/>
    </row>
    <row r="153">
      <c r="B153" s="53"/>
    </row>
    <row r="154">
      <c r="B154" s="53"/>
    </row>
    <row r="155">
      <c r="B155" s="53"/>
    </row>
    <row r="156">
      <c r="B156" s="53"/>
    </row>
    <row r="157">
      <c r="B157" s="53"/>
    </row>
    <row r="158">
      <c r="B158" s="53"/>
    </row>
    <row r="159">
      <c r="B159" s="53"/>
    </row>
    <row r="160">
      <c r="B160" s="53"/>
    </row>
    <row r="161">
      <c r="B161" s="53"/>
    </row>
    <row r="162">
      <c r="B162" s="53"/>
    </row>
    <row r="163">
      <c r="B163" s="53"/>
    </row>
    <row r="164">
      <c r="B164" s="53"/>
    </row>
    <row r="165">
      <c r="B165" s="53"/>
    </row>
    <row r="166">
      <c r="B166" s="53"/>
    </row>
    <row r="167">
      <c r="B167" s="53"/>
    </row>
    <row r="168">
      <c r="B168" s="53"/>
    </row>
    <row r="169">
      <c r="B169" s="53"/>
    </row>
    <row r="170">
      <c r="B170" s="53"/>
    </row>
    <row r="171">
      <c r="B171" s="53"/>
    </row>
    <row r="172">
      <c r="B172" s="53"/>
    </row>
    <row r="173">
      <c r="B173" s="53"/>
    </row>
    <row r="174">
      <c r="B174" s="53"/>
    </row>
    <row r="175">
      <c r="B175" s="53"/>
    </row>
    <row r="176">
      <c r="B176" s="53"/>
    </row>
    <row r="177">
      <c r="B177" s="53"/>
    </row>
    <row r="178">
      <c r="B178" s="53"/>
    </row>
    <row r="179">
      <c r="B179" s="53"/>
    </row>
    <row r="180">
      <c r="B180" s="53"/>
    </row>
    <row r="181">
      <c r="B181" s="53"/>
    </row>
    <row r="182">
      <c r="B182" s="53"/>
    </row>
    <row r="183">
      <c r="B183" s="53"/>
    </row>
    <row r="184">
      <c r="B184" s="53"/>
    </row>
    <row r="185">
      <c r="B185" s="53"/>
    </row>
    <row r="186">
      <c r="B186" s="53"/>
    </row>
    <row r="187">
      <c r="B187" s="53"/>
    </row>
    <row r="188">
      <c r="B188" s="53"/>
    </row>
    <row r="189">
      <c r="B189" s="53"/>
    </row>
    <row r="190">
      <c r="B190" s="53"/>
    </row>
    <row r="191">
      <c r="B191" s="53"/>
    </row>
    <row r="192">
      <c r="B192" s="53"/>
    </row>
    <row r="193">
      <c r="B193" s="53"/>
    </row>
    <row r="194">
      <c r="B194" s="53"/>
    </row>
    <row r="195">
      <c r="B195" s="53"/>
    </row>
    <row r="196">
      <c r="B196" s="53"/>
    </row>
    <row r="197">
      <c r="B197" s="53"/>
    </row>
    <row r="198">
      <c r="B198" s="53"/>
    </row>
    <row r="199">
      <c r="B199" s="53"/>
    </row>
    <row r="200">
      <c r="B200" s="53"/>
    </row>
    <row r="201">
      <c r="B201" s="53"/>
    </row>
    <row r="202">
      <c r="B202" s="53"/>
    </row>
    <row r="203">
      <c r="B203" s="53"/>
    </row>
    <row r="204">
      <c r="B204" s="53"/>
    </row>
    <row r="205">
      <c r="B205" s="53"/>
    </row>
    <row r="206">
      <c r="B206" s="53"/>
    </row>
    <row r="207">
      <c r="B207" s="53"/>
    </row>
    <row r="208">
      <c r="B208" s="53"/>
    </row>
    <row r="209">
      <c r="B209" s="53"/>
    </row>
    <row r="210">
      <c r="B210" s="53"/>
    </row>
    <row r="211">
      <c r="B211" s="53"/>
    </row>
    <row r="212">
      <c r="B212" s="53"/>
    </row>
    <row r="213">
      <c r="B213" s="53"/>
    </row>
    <row r="214">
      <c r="B214" s="53"/>
    </row>
    <row r="215">
      <c r="B215" s="53"/>
    </row>
    <row r="216">
      <c r="B216" s="53"/>
    </row>
    <row r="217">
      <c r="B217" s="53"/>
    </row>
    <row r="218">
      <c r="B218" s="53"/>
    </row>
    <row r="219">
      <c r="B219" s="53"/>
    </row>
    <row r="220">
      <c r="B220" s="53"/>
    </row>
    <row r="221">
      <c r="B221" s="53"/>
    </row>
    <row r="222">
      <c r="B222" s="53"/>
    </row>
    <row r="223">
      <c r="B223" s="53"/>
    </row>
    <row r="224">
      <c r="B224" s="53"/>
    </row>
    <row r="225">
      <c r="B225" s="53"/>
    </row>
    <row r="226">
      <c r="B226" s="53"/>
    </row>
    <row r="227">
      <c r="B227" s="53"/>
    </row>
    <row r="228">
      <c r="B228" s="53"/>
    </row>
    <row r="229">
      <c r="B229" s="53"/>
    </row>
    <row r="230">
      <c r="B230" s="53"/>
    </row>
    <row r="231">
      <c r="B231" s="53"/>
    </row>
    <row r="232">
      <c r="B232" s="53"/>
    </row>
    <row r="233">
      <c r="B233" s="53"/>
    </row>
    <row r="234">
      <c r="B234" s="53"/>
    </row>
    <row r="235">
      <c r="B235" s="53"/>
    </row>
    <row r="236">
      <c r="B236" s="53"/>
    </row>
    <row r="237">
      <c r="B237" s="53"/>
    </row>
    <row r="238">
      <c r="B238" s="53"/>
    </row>
    <row r="239">
      <c r="B239" s="53"/>
    </row>
    <row r="240">
      <c r="B240" s="53"/>
    </row>
    <row r="241">
      <c r="B241" s="53"/>
    </row>
    <row r="242">
      <c r="B242" s="53"/>
    </row>
    <row r="243">
      <c r="B243" s="53"/>
    </row>
    <row r="244">
      <c r="B244" s="53"/>
    </row>
    <row r="245">
      <c r="B245" s="53"/>
    </row>
    <row r="246">
      <c r="B246" s="53"/>
    </row>
    <row r="247">
      <c r="B247" s="53"/>
    </row>
    <row r="248">
      <c r="B248" s="53"/>
    </row>
    <row r="249">
      <c r="B249" s="53"/>
    </row>
    <row r="250">
      <c r="B250" s="53"/>
    </row>
    <row r="251">
      <c r="B251" s="53"/>
    </row>
    <row r="252">
      <c r="B252" s="53"/>
    </row>
    <row r="253">
      <c r="B253" s="53"/>
    </row>
    <row r="254">
      <c r="B254" s="53"/>
    </row>
    <row r="255">
      <c r="B255" s="53"/>
    </row>
    <row r="256">
      <c r="B256" s="53"/>
    </row>
    <row r="257">
      <c r="B257" s="53"/>
    </row>
    <row r="258">
      <c r="B258" s="53"/>
    </row>
    <row r="259">
      <c r="B259" s="53"/>
    </row>
    <row r="260">
      <c r="B260" s="53"/>
    </row>
    <row r="261">
      <c r="B261" s="53"/>
    </row>
    <row r="262">
      <c r="B262" s="53"/>
    </row>
    <row r="263">
      <c r="B263" s="53"/>
    </row>
    <row r="264">
      <c r="B264" s="53"/>
    </row>
    <row r="265">
      <c r="B265" s="53"/>
    </row>
    <row r="266">
      <c r="B266" s="53"/>
    </row>
    <row r="267">
      <c r="B267" s="53"/>
    </row>
    <row r="268">
      <c r="B268" s="53"/>
    </row>
    <row r="269">
      <c r="B269" s="53"/>
    </row>
    <row r="270">
      <c r="B270" s="53"/>
    </row>
    <row r="271">
      <c r="B271" s="53"/>
    </row>
    <row r="272">
      <c r="B272" s="53"/>
    </row>
    <row r="273">
      <c r="B273" s="53"/>
    </row>
    <row r="274">
      <c r="B274" s="53"/>
    </row>
    <row r="275">
      <c r="B275" s="53"/>
    </row>
    <row r="276">
      <c r="B276" s="53"/>
    </row>
    <row r="277">
      <c r="B277" s="53"/>
    </row>
    <row r="278">
      <c r="B278" s="53"/>
    </row>
    <row r="279">
      <c r="B279" s="53"/>
    </row>
    <row r="280">
      <c r="B280" s="53"/>
    </row>
    <row r="281">
      <c r="B281" s="53"/>
    </row>
    <row r="282">
      <c r="B282" s="53"/>
    </row>
    <row r="283">
      <c r="B283" s="53"/>
    </row>
    <row r="284">
      <c r="B284" s="53"/>
    </row>
    <row r="285">
      <c r="B285" s="53"/>
    </row>
    <row r="286">
      <c r="B286" s="53"/>
    </row>
    <row r="287">
      <c r="B287" s="53"/>
    </row>
    <row r="288">
      <c r="B288" s="53"/>
    </row>
    <row r="289">
      <c r="B289" s="53"/>
    </row>
    <row r="290">
      <c r="B290" s="53"/>
    </row>
    <row r="291">
      <c r="B291" s="53"/>
    </row>
    <row r="292">
      <c r="B292" s="53"/>
    </row>
    <row r="293">
      <c r="B293" s="53"/>
    </row>
    <row r="294">
      <c r="B294" s="53"/>
    </row>
    <row r="295">
      <c r="B295" s="53"/>
    </row>
    <row r="296">
      <c r="B296" s="53"/>
    </row>
    <row r="297">
      <c r="B297" s="53"/>
    </row>
    <row r="298">
      <c r="B298" s="53"/>
    </row>
    <row r="299">
      <c r="B299" s="53"/>
    </row>
    <row r="300">
      <c r="B300" s="53"/>
    </row>
    <row r="301">
      <c r="B301" s="53"/>
    </row>
    <row r="302">
      <c r="B302" s="53"/>
    </row>
    <row r="303">
      <c r="B303" s="53"/>
    </row>
    <row r="304">
      <c r="B304" s="53"/>
    </row>
    <row r="305">
      <c r="B305" s="53"/>
    </row>
    <row r="306">
      <c r="B306" s="53"/>
    </row>
    <row r="307">
      <c r="B307" s="53"/>
    </row>
    <row r="308">
      <c r="B308" s="53"/>
    </row>
    <row r="309">
      <c r="B309" s="53"/>
    </row>
    <row r="310">
      <c r="B310" s="53"/>
    </row>
    <row r="311">
      <c r="B311" s="53"/>
    </row>
    <row r="312">
      <c r="B312" s="53"/>
    </row>
    <row r="313">
      <c r="B313" s="53"/>
    </row>
    <row r="314">
      <c r="B314" s="53"/>
    </row>
    <row r="315">
      <c r="B315" s="53"/>
    </row>
    <row r="316">
      <c r="B316" s="53"/>
    </row>
    <row r="317">
      <c r="B317" s="53"/>
    </row>
    <row r="318">
      <c r="B318" s="53"/>
    </row>
    <row r="319">
      <c r="B319" s="53"/>
    </row>
    <row r="320">
      <c r="B320" s="53"/>
    </row>
    <row r="321">
      <c r="B321" s="53"/>
    </row>
    <row r="322">
      <c r="B322" s="53"/>
    </row>
    <row r="323">
      <c r="B323" s="53"/>
    </row>
    <row r="324">
      <c r="B324" s="53"/>
    </row>
    <row r="325">
      <c r="B325" s="53"/>
    </row>
    <row r="326">
      <c r="B326" s="53"/>
    </row>
    <row r="327">
      <c r="B327" s="53"/>
    </row>
    <row r="328">
      <c r="B328" s="53"/>
    </row>
    <row r="329">
      <c r="B329" s="53"/>
    </row>
    <row r="330">
      <c r="B330" s="53"/>
    </row>
    <row r="331">
      <c r="B331" s="53"/>
    </row>
    <row r="332">
      <c r="B332" s="53"/>
    </row>
    <row r="333">
      <c r="B333" s="53"/>
    </row>
    <row r="334">
      <c r="B334" s="53"/>
    </row>
    <row r="335">
      <c r="B335" s="53"/>
    </row>
    <row r="336">
      <c r="B336" s="53"/>
    </row>
    <row r="337">
      <c r="B337" s="53"/>
    </row>
    <row r="338">
      <c r="B338" s="53"/>
    </row>
    <row r="339">
      <c r="B339" s="53"/>
    </row>
    <row r="340">
      <c r="B340" s="53"/>
    </row>
    <row r="341">
      <c r="B341" s="53"/>
    </row>
    <row r="342">
      <c r="B342" s="53"/>
    </row>
    <row r="343">
      <c r="B343" s="53"/>
    </row>
    <row r="344">
      <c r="B344" s="53"/>
    </row>
    <row r="345">
      <c r="B345" s="53"/>
    </row>
    <row r="346">
      <c r="B346" s="53"/>
    </row>
    <row r="347">
      <c r="B347" s="53"/>
    </row>
    <row r="348">
      <c r="B348" s="53"/>
    </row>
    <row r="349">
      <c r="B349" s="53"/>
    </row>
    <row r="350">
      <c r="B350" s="53"/>
    </row>
    <row r="351">
      <c r="B351" s="53"/>
    </row>
    <row r="352">
      <c r="B352" s="53"/>
    </row>
    <row r="353">
      <c r="B353" s="53"/>
    </row>
    <row r="354">
      <c r="B354" s="53"/>
    </row>
    <row r="355">
      <c r="B355" s="53"/>
    </row>
    <row r="356">
      <c r="B356" s="53"/>
    </row>
    <row r="357">
      <c r="B357" s="53"/>
    </row>
    <row r="358">
      <c r="B358" s="53"/>
    </row>
    <row r="359">
      <c r="B359" s="53"/>
    </row>
    <row r="360">
      <c r="B360" s="53"/>
    </row>
    <row r="361">
      <c r="B361" s="53"/>
    </row>
    <row r="362">
      <c r="B362" s="53"/>
    </row>
    <row r="363">
      <c r="B363" s="53"/>
    </row>
    <row r="364">
      <c r="B364" s="53"/>
    </row>
    <row r="365">
      <c r="B365" s="53"/>
    </row>
    <row r="366">
      <c r="B366" s="53"/>
    </row>
    <row r="367">
      <c r="B367" s="53"/>
    </row>
    <row r="368">
      <c r="B368" s="53"/>
    </row>
    <row r="369">
      <c r="B369" s="53"/>
    </row>
    <row r="370">
      <c r="B370" s="53"/>
    </row>
    <row r="371">
      <c r="B371" s="53"/>
    </row>
    <row r="372">
      <c r="B372" s="53"/>
    </row>
    <row r="373">
      <c r="B373" s="53"/>
    </row>
    <row r="374">
      <c r="B374" s="53"/>
    </row>
    <row r="375">
      <c r="B375" s="53"/>
    </row>
    <row r="376">
      <c r="B376" s="53"/>
    </row>
    <row r="377">
      <c r="B377" s="53"/>
    </row>
    <row r="378">
      <c r="B378" s="53"/>
    </row>
    <row r="379">
      <c r="B379" s="53"/>
    </row>
    <row r="380">
      <c r="B380" s="53"/>
    </row>
    <row r="381">
      <c r="B381" s="53"/>
    </row>
    <row r="382">
      <c r="B382" s="53"/>
    </row>
    <row r="383">
      <c r="B383" s="53"/>
    </row>
    <row r="384">
      <c r="B384" s="53"/>
    </row>
    <row r="385">
      <c r="B385" s="53"/>
    </row>
    <row r="386">
      <c r="B386" s="53"/>
    </row>
    <row r="387">
      <c r="B387" s="53"/>
    </row>
    <row r="388">
      <c r="B388" s="53"/>
    </row>
    <row r="389">
      <c r="B389" s="53"/>
    </row>
    <row r="390">
      <c r="B390" s="53"/>
    </row>
    <row r="391">
      <c r="B391" s="53"/>
    </row>
    <row r="392">
      <c r="B392" s="53"/>
    </row>
    <row r="393">
      <c r="B393" s="53"/>
    </row>
    <row r="394">
      <c r="B394" s="53"/>
    </row>
    <row r="395">
      <c r="B395" s="53"/>
    </row>
    <row r="396">
      <c r="B396" s="53"/>
    </row>
    <row r="397">
      <c r="B397" s="53"/>
    </row>
    <row r="398">
      <c r="B398" s="53"/>
    </row>
    <row r="399">
      <c r="B399" s="53"/>
    </row>
    <row r="400">
      <c r="B400" s="53"/>
    </row>
    <row r="401">
      <c r="B401" s="53"/>
    </row>
    <row r="402">
      <c r="B402" s="53"/>
    </row>
    <row r="403">
      <c r="B403" s="53"/>
    </row>
    <row r="404">
      <c r="B404" s="53"/>
    </row>
    <row r="405">
      <c r="B405" s="53"/>
    </row>
    <row r="406">
      <c r="B406" s="53"/>
    </row>
    <row r="407">
      <c r="B407" s="53"/>
    </row>
    <row r="408">
      <c r="B408" s="53"/>
    </row>
    <row r="409">
      <c r="B409" s="53"/>
    </row>
    <row r="410">
      <c r="B410" s="53"/>
    </row>
    <row r="411">
      <c r="B411" s="53"/>
    </row>
    <row r="412">
      <c r="B412" s="53"/>
    </row>
    <row r="413">
      <c r="B413" s="53"/>
    </row>
    <row r="414">
      <c r="B414" s="53"/>
    </row>
    <row r="415">
      <c r="B415" s="53"/>
    </row>
    <row r="416">
      <c r="B416" s="53"/>
    </row>
    <row r="417">
      <c r="B417" s="53"/>
    </row>
    <row r="418">
      <c r="B418" s="53"/>
    </row>
    <row r="419">
      <c r="B419" s="53"/>
    </row>
    <row r="420">
      <c r="B420" s="53"/>
    </row>
    <row r="421">
      <c r="B421" s="53"/>
    </row>
    <row r="422">
      <c r="B422" s="53"/>
    </row>
    <row r="423">
      <c r="B423" s="53"/>
    </row>
    <row r="424">
      <c r="B424" s="53"/>
    </row>
    <row r="425">
      <c r="B425" s="53"/>
    </row>
    <row r="426">
      <c r="B426" s="53"/>
    </row>
    <row r="427">
      <c r="B427" s="53"/>
    </row>
    <row r="428">
      <c r="B428" s="53"/>
    </row>
    <row r="429">
      <c r="B429" s="53"/>
    </row>
    <row r="430">
      <c r="B430" s="53"/>
    </row>
    <row r="431">
      <c r="B431" s="53"/>
    </row>
    <row r="432">
      <c r="B432" s="53"/>
    </row>
    <row r="433">
      <c r="B433" s="53"/>
    </row>
    <row r="434">
      <c r="B434" s="53"/>
    </row>
    <row r="435">
      <c r="B435" s="53"/>
    </row>
    <row r="436">
      <c r="B436" s="53"/>
    </row>
    <row r="437">
      <c r="B437" s="53"/>
    </row>
    <row r="438">
      <c r="B438" s="53"/>
    </row>
    <row r="439">
      <c r="B439" s="53"/>
    </row>
    <row r="440">
      <c r="B440" s="53"/>
    </row>
    <row r="441">
      <c r="B441" s="53"/>
    </row>
    <row r="442">
      <c r="B442" s="53"/>
    </row>
    <row r="443">
      <c r="B443" s="53"/>
    </row>
    <row r="444">
      <c r="B444" s="53"/>
    </row>
    <row r="445">
      <c r="B445" s="53"/>
    </row>
    <row r="446">
      <c r="B446" s="53"/>
    </row>
    <row r="447">
      <c r="B447" s="53"/>
    </row>
    <row r="448">
      <c r="B448" s="53"/>
    </row>
    <row r="449">
      <c r="B449" s="53"/>
    </row>
    <row r="450">
      <c r="B450" s="53"/>
    </row>
    <row r="451">
      <c r="B451" s="53"/>
    </row>
    <row r="452">
      <c r="B452" s="53"/>
    </row>
    <row r="453">
      <c r="B453" s="53"/>
    </row>
    <row r="454">
      <c r="B454" s="53"/>
    </row>
    <row r="455">
      <c r="B455" s="53"/>
    </row>
    <row r="456">
      <c r="B456" s="53"/>
    </row>
    <row r="457">
      <c r="B457" s="53"/>
    </row>
    <row r="458">
      <c r="B458" s="53"/>
    </row>
    <row r="459">
      <c r="B459" s="53"/>
    </row>
    <row r="460">
      <c r="B460" s="53"/>
    </row>
    <row r="461">
      <c r="B461" s="53"/>
    </row>
    <row r="462">
      <c r="B462" s="53"/>
    </row>
    <row r="463">
      <c r="B463" s="53"/>
    </row>
    <row r="464">
      <c r="B464" s="53"/>
    </row>
    <row r="465">
      <c r="B465" s="53"/>
    </row>
    <row r="466">
      <c r="B466" s="53"/>
    </row>
    <row r="467">
      <c r="B467" s="53"/>
    </row>
    <row r="468">
      <c r="B468" s="53"/>
    </row>
    <row r="469">
      <c r="B469" s="53"/>
    </row>
    <row r="470">
      <c r="B470" s="53"/>
    </row>
    <row r="471">
      <c r="B471" s="53"/>
    </row>
    <row r="472">
      <c r="B472" s="53"/>
    </row>
    <row r="473">
      <c r="B473" s="53"/>
    </row>
    <row r="474">
      <c r="B474" s="53"/>
    </row>
    <row r="475">
      <c r="B475" s="53"/>
    </row>
    <row r="476">
      <c r="B476" s="53"/>
    </row>
    <row r="477">
      <c r="B477" s="53"/>
    </row>
    <row r="478">
      <c r="B478" s="53"/>
    </row>
    <row r="479">
      <c r="B479" s="53"/>
    </row>
    <row r="480">
      <c r="B480" s="53"/>
    </row>
    <row r="481">
      <c r="B481" s="53"/>
    </row>
    <row r="482">
      <c r="B482" s="53"/>
    </row>
    <row r="483">
      <c r="B483" s="53"/>
    </row>
    <row r="484">
      <c r="B484" s="53"/>
    </row>
    <row r="485">
      <c r="B485" s="53"/>
    </row>
    <row r="486">
      <c r="B486" s="53"/>
    </row>
    <row r="487">
      <c r="B487" s="53"/>
    </row>
    <row r="488">
      <c r="B488" s="53"/>
    </row>
    <row r="489">
      <c r="B489" s="53"/>
    </row>
    <row r="490">
      <c r="B490" s="53"/>
    </row>
    <row r="491">
      <c r="B491" s="53"/>
    </row>
    <row r="492">
      <c r="B492" s="53"/>
    </row>
    <row r="493">
      <c r="B493" s="53"/>
    </row>
    <row r="494">
      <c r="B494" s="53"/>
    </row>
    <row r="495">
      <c r="B495" s="53"/>
    </row>
    <row r="496">
      <c r="B496" s="53"/>
    </row>
    <row r="497">
      <c r="B497" s="53"/>
    </row>
    <row r="498">
      <c r="B498" s="53"/>
    </row>
    <row r="499">
      <c r="B499" s="53"/>
    </row>
    <row r="500">
      <c r="B500" s="53"/>
    </row>
    <row r="501">
      <c r="B501" s="53"/>
    </row>
    <row r="502">
      <c r="B502" s="53"/>
    </row>
    <row r="503">
      <c r="B503" s="53"/>
    </row>
    <row r="504">
      <c r="B504" s="53"/>
    </row>
    <row r="505">
      <c r="B505" s="53"/>
    </row>
    <row r="506">
      <c r="B506" s="53"/>
    </row>
    <row r="507">
      <c r="B507" s="53"/>
    </row>
    <row r="508">
      <c r="B508" s="53"/>
    </row>
    <row r="509">
      <c r="B509" s="53"/>
    </row>
    <row r="510">
      <c r="B510" s="53"/>
    </row>
    <row r="511">
      <c r="B511" s="53"/>
    </row>
    <row r="512">
      <c r="B512" s="53"/>
    </row>
    <row r="513">
      <c r="B513" s="53"/>
    </row>
    <row r="514">
      <c r="B514" s="53"/>
    </row>
    <row r="515">
      <c r="B515" s="53"/>
    </row>
    <row r="516">
      <c r="B516" s="53"/>
    </row>
    <row r="517">
      <c r="B517" s="53"/>
    </row>
    <row r="518">
      <c r="B518" s="53"/>
    </row>
    <row r="519">
      <c r="B519" s="53"/>
    </row>
    <row r="520">
      <c r="B520" s="53"/>
    </row>
    <row r="521">
      <c r="B521" s="53"/>
    </row>
    <row r="522">
      <c r="B522" s="53"/>
    </row>
    <row r="523">
      <c r="B523" s="53"/>
    </row>
    <row r="524">
      <c r="B524" s="53"/>
    </row>
    <row r="525">
      <c r="B525" s="53"/>
    </row>
    <row r="526">
      <c r="B526" s="53"/>
    </row>
    <row r="527">
      <c r="B527" s="53"/>
    </row>
    <row r="528">
      <c r="B528" s="53"/>
    </row>
    <row r="529">
      <c r="B529" s="53"/>
    </row>
    <row r="530">
      <c r="B530" s="53"/>
    </row>
    <row r="531">
      <c r="B531" s="53"/>
    </row>
    <row r="532">
      <c r="B532" s="53"/>
    </row>
    <row r="533">
      <c r="B533" s="53"/>
    </row>
    <row r="534">
      <c r="B534" s="53"/>
    </row>
    <row r="535">
      <c r="B535" s="53"/>
    </row>
    <row r="536">
      <c r="B536" s="53"/>
    </row>
    <row r="537">
      <c r="B537" s="53"/>
    </row>
    <row r="538">
      <c r="B538" s="53"/>
    </row>
    <row r="539">
      <c r="B539" s="53"/>
    </row>
    <row r="540">
      <c r="B540" s="53"/>
    </row>
    <row r="541">
      <c r="B541" s="53"/>
    </row>
    <row r="542">
      <c r="B542" s="53"/>
    </row>
    <row r="543">
      <c r="B543" s="53"/>
    </row>
    <row r="544">
      <c r="B544" s="53"/>
    </row>
    <row r="545">
      <c r="B545" s="53"/>
    </row>
    <row r="546">
      <c r="B546" s="53"/>
    </row>
    <row r="547">
      <c r="B547" s="53"/>
    </row>
    <row r="548">
      <c r="B548" s="53"/>
    </row>
    <row r="549">
      <c r="B549" s="53"/>
    </row>
    <row r="550">
      <c r="B550" s="53"/>
    </row>
    <row r="551">
      <c r="B551" s="53"/>
    </row>
    <row r="552">
      <c r="B552" s="53"/>
    </row>
    <row r="553">
      <c r="B553" s="53"/>
    </row>
    <row r="554">
      <c r="B554" s="53"/>
    </row>
    <row r="555">
      <c r="B555" s="53"/>
    </row>
    <row r="556">
      <c r="B556" s="53"/>
    </row>
    <row r="557">
      <c r="B557" s="53"/>
    </row>
    <row r="558">
      <c r="B558" s="53"/>
    </row>
    <row r="559">
      <c r="B559" s="53"/>
    </row>
    <row r="560">
      <c r="B560" s="53"/>
    </row>
    <row r="561">
      <c r="B561" s="53"/>
    </row>
    <row r="562">
      <c r="B562" s="53"/>
    </row>
    <row r="563">
      <c r="B563" s="53"/>
    </row>
    <row r="564">
      <c r="B564" s="53"/>
    </row>
    <row r="565">
      <c r="B565" s="53"/>
    </row>
    <row r="566">
      <c r="B566" s="53"/>
    </row>
    <row r="567">
      <c r="B567" s="53"/>
    </row>
    <row r="568">
      <c r="B568" s="53"/>
    </row>
    <row r="569">
      <c r="B569" s="53"/>
    </row>
    <row r="570">
      <c r="B570" s="53"/>
    </row>
    <row r="571">
      <c r="B571" s="53"/>
    </row>
    <row r="572">
      <c r="B572" s="53"/>
    </row>
    <row r="573">
      <c r="B573" s="53"/>
    </row>
    <row r="574">
      <c r="B574" s="53"/>
    </row>
    <row r="575">
      <c r="B575" s="53"/>
    </row>
    <row r="576">
      <c r="B576" s="53"/>
    </row>
    <row r="577">
      <c r="B577" s="53"/>
    </row>
    <row r="578">
      <c r="B578" s="53"/>
    </row>
    <row r="579">
      <c r="B579" s="53"/>
    </row>
    <row r="580">
      <c r="B580" s="53"/>
    </row>
    <row r="581">
      <c r="B581" s="53"/>
    </row>
    <row r="582">
      <c r="B582" s="53"/>
    </row>
    <row r="583">
      <c r="B583" s="53"/>
    </row>
    <row r="584">
      <c r="B584" s="53"/>
    </row>
    <row r="585">
      <c r="B585" s="53"/>
    </row>
    <row r="586">
      <c r="B586" s="53"/>
    </row>
    <row r="587">
      <c r="B587" s="53"/>
    </row>
    <row r="588">
      <c r="B588" s="53"/>
    </row>
    <row r="589">
      <c r="B589" s="53"/>
    </row>
    <row r="590">
      <c r="B590" s="53"/>
    </row>
    <row r="591">
      <c r="B591" s="53"/>
    </row>
    <row r="592">
      <c r="B592" s="53"/>
    </row>
    <row r="593">
      <c r="B593" s="53"/>
    </row>
    <row r="594">
      <c r="B594" s="53"/>
    </row>
    <row r="595">
      <c r="B595" s="53"/>
    </row>
    <row r="596">
      <c r="B596" s="53"/>
    </row>
    <row r="597">
      <c r="B597" s="53"/>
    </row>
    <row r="598">
      <c r="B598" s="53"/>
    </row>
    <row r="599">
      <c r="B599" s="53"/>
    </row>
    <row r="600">
      <c r="B600" s="53"/>
    </row>
    <row r="601">
      <c r="B601" s="53"/>
    </row>
    <row r="602">
      <c r="B602" s="53"/>
    </row>
    <row r="603">
      <c r="B603" s="53"/>
    </row>
    <row r="604">
      <c r="B604" s="53"/>
    </row>
    <row r="605">
      <c r="B605" s="53"/>
    </row>
    <row r="606">
      <c r="B606" s="53"/>
    </row>
    <row r="607">
      <c r="B607" s="53"/>
    </row>
    <row r="608">
      <c r="B608" s="53"/>
    </row>
    <row r="609">
      <c r="B609" s="53"/>
    </row>
    <row r="610">
      <c r="B610" s="53"/>
    </row>
    <row r="611">
      <c r="B611" s="53"/>
    </row>
    <row r="612">
      <c r="B612" s="53"/>
    </row>
    <row r="613">
      <c r="B613" s="53"/>
    </row>
    <row r="614">
      <c r="B614" s="53"/>
    </row>
    <row r="615">
      <c r="B615" s="53"/>
    </row>
    <row r="616">
      <c r="B616" s="53"/>
    </row>
    <row r="617">
      <c r="B617" s="53"/>
    </row>
    <row r="618">
      <c r="B618" s="53"/>
    </row>
    <row r="619">
      <c r="B619" s="53"/>
    </row>
    <row r="620">
      <c r="B620" s="53"/>
    </row>
    <row r="621">
      <c r="B621" s="53"/>
    </row>
    <row r="622">
      <c r="B622" s="53"/>
    </row>
    <row r="623">
      <c r="B623" s="53"/>
    </row>
    <row r="624">
      <c r="B624" s="53"/>
    </row>
    <row r="625">
      <c r="B625" s="53"/>
    </row>
    <row r="626">
      <c r="B626" s="53"/>
    </row>
    <row r="627">
      <c r="B627" s="53"/>
    </row>
    <row r="628">
      <c r="B628" s="53"/>
    </row>
    <row r="629">
      <c r="B629" s="53"/>
    </row>
    <row r="630">
      <c r="B630" s="53"/>
    </row>
    <row r="631">
      <c r="B631" s="53"/>
    </row>
    <row r="632">
      <c r="B632" s="53"/>
    </row>
    <row r="633">
      <c r="B633" s="53"/>
    </row>
    <row r="634">
      <c r="B634" s="53"/>
    </row>
    <row r="635">
      <c r="B635" s="53"/>
    </row>
    <row r="636">
      <c r="B636" s="53"/>
    </row>
    <row r="637">
      <c r="B637" s="53"/>
    </row>
    <row r="638">
      <c r="B638" s="53"/>
    </row>
    <row r="639">
      <c r="B639" s="53"/>
    </row>
    <row r="640">
      <c r="B640" s="53"/>
    </row>
    <row r="641">
      <c r="B641" s="53"/>
    </row>
    <row r="642">
      <c r="B642" s="53"/>
    </row>
    <row r="643">
      <c r="B643" s="53"/>
    </row>
    <row r="644">
      <c r="B644" s="53"/>
    </row>
    <row r="645">
      <c r="B645" s="53"/>
    </row>
    <row r="646">
      <c r="B646" s="53"/>
    </row>
    <row r="647">
      <c r="B647" s="53"/>
    </row>
    <row r="648">
      <c r="B648" s="53"/>
    </row>
    <row r="649">
      <c r="B649" s="53"/>
    </row>
    <row r="650">
      <c r="B650" s="53"/>
    </row>
    <row r="651">
      <c r="B651" s="53"/>
    </row>
    <row r="652">
      <c r="B652" s="53"/>
    </row>
    <row r="653">
      <c r="B653" s="53"/>
    </row>
    <row r="654">
      <c r="B654" s="53"/>
    </row>
    <row r="655">
      <c r="B655" s="53"/>
    </row>
    <row r="656">
      <c r="B656" s="53"/>
    </row>
    <row r="657">
      <c r="B657" s="53"/>
    </row>
    <row r="658">
      <c r="B658" s="53"/>
    </row>
    <row r="659">
      <c r="B659" s="53"/>
    </row>
    <row r="660">
      <c r="B660" s="53"/>
    </row>
    <row r="661">
      <c r="B661" s="53"/>
    </row>
    <row r="662">
      <c r="B662" s="53"/>
    </row>
    <row r="663">
      <c r="B663" s="53"/>
    </row>
    <row r="664">
      <c r="B664" s="53"/>
    </row>
    <row r="665">
      <c r="B665" s="53"/>
    </row>
    <row r="666">
      <c r="B666" s="53"/>
    </row>
    <row r="667">
      <c r="B667" s="53"/>
    </row>
    <row r="668">
      <c r="B668" s="53"/>
    </row>
    <row r="669">
      <c r="B669" s="53"/>
    </row>
    <row r="670">
      <c r="B670" s="53"/>
    </row>
    <row r="671">
      <c r="B671" s="53"/>
    </row>
    <row r="672">
      <c r="B672" s="53"/>
    </row>
    <row r="673">
      <c r="B673" s="53"/>
    </row>
    <row r="674">
      <c r="B674" s="53"/>
    </row>
    <row r="675">
      <c r="B675" s="53"/>
    </row>
    <row r="676">
      <c r="B676" s="53"/>
    </row>
    <row r="677">
      <c r="B677" s="53"/>
    </row>
    <row r="678">
      <c r="B678" s="53"/>
    </row>
    <row r="679">
      <c r="B679" s="53"/>
    </row>
    <row r="680">
      <c r="B680" s="53"/>
    </row>
    <row r="681">
      <c r="B681" s="53"/>
    </row>
    <row r="682">
      <c r="B682" s="53"/>
    </row>
    <row r="683">
      <c r="B683" s="53"/>
    </row>
    <row r="684">
      <c r="B684" s="53"/>
    </row>
    <row r="685">
      <c r="B685" s="53"/>
    </row>
    <row r="686">
      <c r="B686" s="53"/>
    </row>
    <row r="687">
      <c r="B687" s="53"/>
    </row>
    <row r="688">
      <c r="B688" s="53"/>
    </row>
    <row r="689">
      <c r="B689" s="53"/>
    </row>
    <row r="690">
      <c r="B690" s="53"/>
    </row>
    <row r="691">
      <c r="B691" s="53"/>
    </row>
    <row r="692">
      <c r="B692" s="53"/>
    </row>
    <row r="693">
      <c r="B693" s="53"/>
    </row>
    <row r="694">
      <c r="B694" s="53"/>
    </row>
    <row r="695">
      <c r="B695" s="53"/>
    </row>
    <row r="696">
      <c r="B696" s="53"/>
    </row>
    <row r="697">
      <c r="B697" s="53"/>
    </row>
    <row r="698">
      <c r="B698" s="53"/>
    </row>
    <row r="699">
      <c r="B699" s="53"/>
    </row>
    <row r="700">
      <c r="B700" s="53"/>
    </row>
    <row r="701">
      <c r="B701" s="53"/>
    </row>
    <row r="702">
      <c r="B702" s="53"/>
    </row>
    <row r="703">
      <c r="B703" s="53"/>
    </row>
    <row r="704">
      <c r="B704" s="53"/>
    </row>
    <row r="705">
      <c r="B705" s="53"/>
    </row>
    <row r="706">
      <c r="B706" s="53"/>
    </row>
    <row r="707">
      <c r="B707" s="53"/>
    </row>
    <row r="708">
      <c r="B708" s="53"/>
    </row>
    <row r="709">
      <c r="B709" s="53"/>
    </row>
    <row r="710">
      <c r="B710" s="53"/>
    </row>
    <row r="711">
      <c r="B711" s="53"/>
    </row>
    <row r="712">
      <c r="B712" s="53"/>
    </row>
    <row r="713">
      <c r="B713" s="53"/>
    </row>
    <row r="714">
      <c r="B714" s="53"/>
    </row>
    <row r="715">
      <c r="B715" s="53"/>
    </row>
    <row r="716">
      <c r="B716" s="53"/>
    </row>
    <row r="717">
      <c r="B717" s="53"/>
    </row>
    <row r="718">
      <c r="B718" s="53"/>
    </row>
    <row r="719">
      <c r="B719" s="53"/>
    </row>
    <row r="720">
      <c r="B720" s="53"/>
    </row>
    <row r="721">
      <c r="B721" s="53"/>
    </row>
    <row r="722">
      <c r="B722" s="53"/>
    </row>
    <row r="723">
      <c r="B723" s="53"/>
    </row>
    <row r="724">
      <c r="B724" s="53"/>
    </row>
    <row r="725">
      <c r="B725" s="53"/>
    </row>
    <row r="726">
      <c r="B726" s="53"/>
    </row>
    <row r="727">
      <c r="B727" s="53"/>
    </row>
    <row r="728">
      <c r="B728" s="53"/>
    </row>
    <row r="729">
      <c r="B729" s="53"/>
    </row>
    <row r="730">
      <c r="B730" s="53"/>
    </row>
    <row r="731">
      <c r="B731" s="53"/>
    </row>
    <row r="732">
      <c r="B732" s="53"/>
    </row>
    <row r="733">
      <c r="B733" s="53"/>
    </row>
    <row r="734">
      <c r="B734" s="53"/>
    </row>
    <row r="735">
      <c r="B735" s="53"/>
    </row>
    <row r="736">
      <c r="B736" s="53"/>
    </row>
    <row r="737">
      <c r="B737" s="53"/>
    </row>
    <row r="738">
      <c r="B738" s="53"/>
    </row>
    <row r="739">
      <c r="B739" s="53"/>
    </row>
    <row r="740">
      <c r="B740" s="53"/>
    </row>
    <row r="741">
      <c r="B741" s="53"/>
    </row>
    <row r="742">
      <c r="B742" s="53"/>
    </row>
    <row r="743">
      <c r="B743" s="53"/>
    </row>
    <row r="744">
      <c r="B744" s="53"/>
    </row>
    <row r="745">
      <c r="B745" s="53"/>
    </row>
    <row r="746">
      <c r="B746" s="53"/>
    </row>
    <row r="747">
      <c r="B747" s="53"/>
    </row>
    <row r="748">
      <c r="B748" s="53"/>
    </row>
    <row r="749">
      <c r="B749" s="53"/>
    </row>
    <row r="750">
      <c r="B750" s="53"/>
    </row>
    <row r="751">
      <c r="B751" s="53"/>
    </row>
    <row r="752">
      <c r="B752" s="53"/>
    </row>
    <row r="753">
      <c r="B753" s="53"/>
    </row>
    <row r="754">
      <c r="B754" s="53"/>
    </row>
    <row r="755">
      <c r="B755" s="53"/>
    </row>
    <row r="756">
      <c r="B756" s="53"/>
    </row>
    <row r="757">
      <c r="B757" s="53"/>
    </row>
    <row r="758">
      <c r="B758" s="53"/>
    </row>
    <row r="759">
      <c r="B759" s="53"/>
    </row>
    <row r="760">
      <c r="B760" s="53"/>
    </row>
    <row r="761">
      <c r="B761" s="53"/>
    </row>
    <row r="762">
      <c r="B762" s="53"/>
    </row>
    <row r="763">
      <c r="B763" s="53"/>
    </row>
    <row r="764">
      <c r="B764" s="53"/>
    </row>
    <row r="765">
      <c r="B765" s="53"/>
    </row>
    <row r="766">
      <c r="B766" s="53"/>
    </row>
    <row r="767">
      <c r="B767" s="53"/>
    </row>
    <row r="768">
      <c r="B768" s="53"/>
    </row>
    <row r="769">
      <c r="B769" s="53"/>
    </row>
    <row r="770">
      <c r="B770" s="53"/>
    </row>
    <row r="771">
      <c r="B771" s="53"/>
    </row>
    <row r="772">
      <c r="B772" s="53"/>
    </row>
    <row r="773">
      <c r="B773" s="53"/>
    </row>
    <row r="774">
      <c r="B774" s="53"/>
    </row>
    <row r="775">
      <c r="B775" s="53"/>
    </row>
    <row r="776">
      <c r="B776" s="53"/>
    </row>
    <row r="777">
      <c r="B777" s="53"/>
    </row>
    <row r="778">
      <c r="B778" s="53"/>
    </row>
    <row r="779">
      <c r="B779" s="53"/>
    </row>
    <row r="780">
      <c r="B780" s="53"/>
    </row>
    <row r="781">
      <c r="B781" s="53"/>
    </row>
    <row r="782">
      <c r="B782" s="53"/>
    </row>
    <row r="783">
      <c r="B783" s="53"/>
    </row>
    <row r="784">
      <c r="B784" s="53"/>
    </row>
    <row r="785">
      <c r="B785" s="53"/>
    </row>
    <row r="786">
      <c r="B786" s="53"/>
    </row>
    <row r="787">
      <c r="B787" s="53"/>
    </row>
    <row r="788">
      <c r="B788" s="53"/>
    </row>
    <row r="789">
      <c r="B789" s="53"/>
    </row>
    <row r="790">
      <c r="B790" s="53"/>
    </row>
    <row r="791">
      <c r="B791" s="53"/>
    </row>
    <row r="792">
      <c r="B792" s="53"/>
    </row>
    <row r="793">
      <c r="B793" s="53"/>
    </row>
    <row r="794">
      <c r="B794" s="53"/>
    </row>
    <row r="795">
      <c r="B795" s="53"/>
    </row>
    <row r="796">
      <c r="B796" s="53"/>
    </row>
    <row r="797">
      <c r="B797" s="53"/>
    </row>
    <row r="798">
      <c r="B798" s="53"/>
    </row>
    <row r="799">
      <c r="B799" s="53"/>
    </row>
    <row r="800">
      <c r="B800" s="53"/>
    </row>
    <row r="801">
      <c r="B801" s="53"/>
    </row>
    <row r="802">
      <c r="B802" s="53"/>
    </row>
    <row r="803">
      <c r="B803" s="53"/>
    </row>
    <row r="804">
      <c r="B804" s="53"/>
    </row>
    <row r="805">
      <c r="B805" s="53"/>
    </row>
    <row r="806">
      <c r="B806" s="53"/>
    </row>
    <row r="807">
      <c r="B807" s="53"/>
    </row>
    <row r="808">
      <c r="B808" s="53"/>
    </row>
    <row r="809">
      <c r="B809" s="53"/>
    </row>
    <row r="810">
      <c r="B810" s="53"/>
    </row>
    <row r="811">
      <c r="B811" s="53"/>
    </row>
    <row r="812">
      <c r="B812" s="53"/>
    </row>
    <row r="813">
      <c r="B813" s="53"/>
    </row>
    <row r="814">
      <c r="B814" s="53"/>
    </row>
    <row r="815">
      <c r="B815" s="53"/>
    </row>
    <row r="816">
      <c r="B816" s="53"/>
    </row>
    <row r="817">
      <c r="B817" s="53"/>
    </row>
    <row r="818">
      <c r="B818" s="53"/>
    </row>
    <row r="819">
      <c r="B819" s="53"/>
    </row>
    <row r="820">
      <c r="B820" s="53"/>
    </row>
    <row r="821">
      <c r="B821" s="53"/>
    </row>
    <row r="822">
      <c r="B822" s="53"/>
    </row>
    <row r="823">
      <c r="B823" s="53"/>
    </row>
    <row r="824">
      <c r="B824" s="53"/>
    </row>
    <row r="825">
      <c r="B825" s="53"/>
    </row>
    <row r="826">
      <c r="B826" s="53"/>
    </row>
    <row r="827">
      <c r="B827" s="53"/>
    </row>
    <row r="828">
      <c r="B828" s="53"/>
    </row>
    <row r="829">
      <c r="B829" s="53"/>
    </row>
    <row r="830">
      <c r="B830" s="53"/>
    </row>
    <row r="831">
      <c r="B831" s="53"/>
    </row>
    <row r="832">
      <c r="B832" s="53"/>
    </row>
    <row r="833">
      <c r="B833" s="53"/>
    </row>
    <row r="834">
      <c r="B834" s="53"/>
    </row>
    <row r="835">
      <c r="B835" s="53"/>
    </row>
    <row r="836">
      <c r="B836" s="53"/>
    </row>
    <row r="837">
      <c r="B837" s="53"/>
    </row>
    <row r="838">
      <c r="B838" s="53"/>
    </row>
    <row r="839">
      <c r="B839" s="53"/>
    </row>
    <row r="840">
      <c r="B840" s="53"/>
    </row>
    <row r="841">
      <c r="B841" s="53"/>
    </row>
    <row r="842">
      <c r="B842" s="53"/>
    </row>
    <row r="843">
      <c r="B843" s="53"/>
    </row>
    <row r="844">
      <c r="B844" s="53"/>
    </row>
    <row r="845">
      <c r="B845" s="53"/>
    </row>
    <row r="846">
      <c r="B846" s="53"/>
    </row>
    <row r="847">
      <c r="B847" s="53"/>
    </row>
    <row r="848">
      <c r="B848" s="53"/>
    </row>
    <row r="849">
      <c r="B849" s="53"/>
    </row>
    <row r="850">
      <c r="B850" s="53"/>
    </row>
    <row r="851">
      <c r="B851" s="53"/>
    </row>
    <row r="852">
      <c r="B852" s="53"/>
    </row>
    <row r="853">
      <c r="B853" s="53"/>
    </row>
    <row r="854">
      <c r="B854" s="53"/>
    </row>
    <row r="855">
      <c r="B855" s="53"/>
    </row>
    <row r="856">
      <c r="B856" s="53"/>
    </row>
    <row r="857">
      <c r="B857" s="53"/>
    </row>
    <row r="858">
      <c r="B858" s="53"/>
    </row>
    <row r="859">
      <c r="B859" s="53"/>
    </row>
    <row r="860">
      <c r="B860" s="53"/>
    </row>
    <row r="861">
      <c r="B861" s="53"/>
    </row>
    <row r="862">
      <c r="B862" s="53"/>
    </row>
    <row r="863">
      <c r="B863" s="53"/>
    </row>
    <row r="864">
      <c r="B864" s="53"/>
    </row>
    <row r="865">
      <c r="B865" s="53"/>
    </row>
    <row r="866">
      <c r="B866" s="53"/>
    </row>
    <row r="867">
      <c r="B867" s="53"/>
    </row>
    <row r="868">
      <c r="B868" s="53"/>
    </row>
    <row r="869">
      <c r="B869" s="53"/>
    </row>
    <row r="870">
      <c r="B870" s="53"/>
    </row>
    <row r="871">
      <c r="B871" s="53"/>
    </row>
    <row r="872">
      <c r="B872" s="53"/>
    </row>
    <row r="873">
      <c r="B873" s="53"/>
    </row>
    <row r="874">
      <c r="B874" s="53"/>
    </row>
    <row r="875">
      <c r="B875" s="53"/>
    </row>
    <row r="876">
      <c r="B876" s="53"/>
    </row>
    <row r="877">
      <c r="B877" s="53"/>
    </row>
    <row r="878">
      <c r="B878" s="53"/>
    </row>
    <row r="879">
      <c r="B879" s="53"/>
    </row>
    <row r="880">
      <c r="B880" s="53"/>
    </row>
    <row r="881">
      <c r="B881" s="53"/>
    </row>
    <row r="882">
      <c r="B882" s="53"/>
    </row>
    <row r="883">
      <c r="B883" s="53"/>
    </row>
    <row r="884">
      <c r="B884" s="53"/>
    </row>
    <row r="885">
      <c r="B885" s="53"/>
    </row>
    <row r="886">
      <c r="B886" s="53"/>
    </row>
    <row r="887">
      <c r="B887" s="53"/>
    </row>
    <row r="888">
      <c r="B888" s="53"/>
    </row>
    <row r="889">
      <c r="B889" s="53"/>
    </row>
    <row r="890">
      <c r="B890" s="53"/>
    </row>
    <row r="891">
      <c r="B891" s="53"/>
    </row>
    <row r="892">
      <c r="B892" s="53"/>
    </row>
    <row r="893">
      <c r="B893" s="53"/>
    </row>
    <row r="894">
      <c r="B894" s="53"/>
    </row>
    <row r="895">
      <c r="B895" s="53"/>
    </row>
    <row r="896">
      <c r="B896" s="53"/>
    </row>
    <row r="897">
      <c r="B897" s="53"/>
    </row>
    <row r="898">
      <c r="B898" s="53"/>
    </row>
    <row r="899">
      <c r="B899" s="53"/>
    </row>
    <row r="900">
      <c r="B900" s="53"/>
    </row>
    <row r="901">
      <c r="B901" s="53"/>
    </row>
    <row r="902">
      <c r="B902" s="53"/>
    </row>
    <row r="903">
      <c r="B903" s="53"/>
    </row>
    <row r="904">
      <c r="B904" s="53"/>
    </row>
    <row r="905">
      <c r="B905" s="53"/>
    </row>
    <row r="906">
      <c r="B906" s="53"/>
    </row>
    <row r="907">
      <c r="B907" s="53"/>
    </row>
    <row r="908">
      <c r="B908" s="53"/>
    </row>
    <row r="909">
      <c r="B909" s="53"/>
    </row>
    <row r="910">
      <c r="B910" s="53"/>
    </row>
    <row r="911">
      <c r="B911" s="53"/>
    </row>
    <row r="912">
      <c r="B912" s="53"/>
    </row>
    <row r="913">
      <c r="B913" s="53"/>
    </row>
    <row r="914">
      <c r="B914" s="53"/>
    </row>
    <row r="915">
      <c r="B915" s="53"/>
    </row>
    <row r="916">
      <c r="B916" s="53"/>
    </row>
    <row r="917">
      <c r="B917" s="53"/>
    </row>
    <row r="918">
      <c r="B918" s="53"/>
    </row>
    <row r="919">
      <c r="B919" s="53"/>
    </row>
    <row r="920">
      <c r="B920" s="53"/>
    </row>
    <row r="921">
      <c r="B921" s="53"/>
    </row>
    <row r="922">
      <c r="B922" s="53"/>
    </row>
    <row r="923">
      <c r="B923" s="53"/>
    </row>
    <row r="924">
      <c r="B924" s="53"/>
    </row>
    <row r="925">
      <c r="B925" s="53"/>
    </row>
    <row r="926">
      <c r="B926" s="53"/>
    </row>
    <row r="927">
      <c r="B927" s="53"/>
    </row>
    <row r="928">
      <c r="B928" s="53"/>
    </row>
    <row r="929">
      <c r="B929" s="53"/>
    </row>
    <row r="930">
      <c r="B930" s="53"/>
    </row>
    <row r="931">
      <c r="B931" s="53"/>
    </row>
    <row r="932">
      <c r="B932" s="53"/>
    </row>
    <row r="933">
      <c r="B933" s="53"/>
    </row>
    <row r="934">
      <c r="B934" s="53"/>
    </row>
    <row r="935">
      <c r="B935" s="53"/>
    </row>
    <row r="936">
      <c r="B936" s="53"/>
    </row>
    <row r="937">
      <c r="B937" s="53"/>
    </row>
    <row r="938">
      <c r="B938" s="53"/>
    </row>
    <row r="939">
      <c r="B939" s="53"/>
    </row>
    <row r="940">
      <c r="B940" s="53"/>
    </row>
    <row r="941">
      <c r="B941" s="53"/>
    </row>
    <row r="942">
      <c r="B942" s="53"/>
    </row>
    <row r="943">
      <c r="B943" s="53"/>
    </row>
    <row r="944">
      <c r="B944" s="53"/>
    </row>
    <row r="945">
      <c r="B945" s="53"/>
    </row>
    <row r="946">
      <c r="B946" s="53"/>
    </row>
    <row r="947">
      <c r="B947" s="53"/>
    </row>
    <row r="948">
      <c r="B948" s="53"/>
    </row>
    <row r="949">
      <c r="B949" s="53"/>
    </row>
    <row r="950">
      <c r="B950" s="53"/>
    </row>
    <row r="951">
      <c r="B951" s="53"/>
    </row>
    <row r="952">
      <c r="B952" s="53"/>
    </row>
    <row r="953">
      <c r="B953" s="53"/>
    </row>
    <row r="954">
      <c r="B954" s="53"/>
    </row>
    <row r="955">
      <c r="B955" s="53"/>
    </row>
    <row r="956">
      <c r="B956" s="53"/>
    </row>
    <row r="957">
      <c r="B957" s="53"/>
    </row>
    <row r="958">
      <c r="B958" s="53"/>
    </row>
    <row r="959">
      <c r="B959" s="53"/>
    </row>
    <row r="960">
      <c r="B960" s="53"/>
    </row>
    <row r="961">
      <c r="B961" s="53"/>
    </row>
    <row r="962">
      <c r="B962" s="53"/>
    </row>
    <row r="963">
      <c r="B963" s="53"/>
    </row>
    <row r="964">
      <c r="B964" s="53"/>
    </row>
    <row r="965">
      <c r="B965" s="53"/>
    </row>
    <row r="966">
      <c r="B966" s="53"/>
    </row>
    <row r="967">
      <c r="B967" s="53"/>
    </row>
    <row r="968">
      <c r="B968" s="53"/>
    </row>
    <row r="969">
      <c r="B969" s="53"/>
    </row>
    <row r="970">
      <c r="B970" s="53"/>
    </row>
    <row r="971">
      <c r="B971" s="53"/>
    </row>
    <row r="972">
      <c r="B972" s="53"/>
    </row>
    <row r="973">
      <c r="B973" s="53"/>
    </row>
    <row r="974">
      <c r="B974" s="53"/>
    </row>
    <row r="975">
      <c r="B975" s="53"/>
    </row>
    <row r="976">
      <c r="B976" s="53"/>
    </row>
    <row r="977">
      <c r="B977" s="53"/>
    </row>
    <row r="978">
      <c r="B978" s="53"/>
    </row>
    <row r="979">
      <c r="B979" s="53"/>
    </row>
    <row r="980">
      <c r="B980" s="53"/>
    </row>
    <row r="981">
      <c r="B981" s="53"/>
    </row>
    <row r="982">
      <c r="B982" s="53"/>
    </row>
    <row r="983">
      <c r="B983" s="53"/>
    </row>
    <row r="984">
      <c r="B984" s="53"/>
    </row>
    <row r="985">
      <c r="B985" s="53"/>
    </row>
    <row r="986">
      <c r="B986" s="53"/>
    </row>
    <row r="987">
      <c r="B987" s="53"/>
    </row>
    <row r="988">
      <c r="B988" s="53"/>
    </row>
    <row r="989">
      <c r="B989" s="53"/>
    </row>
    <row r="990">
      <c r="B990" s="53"/>
    </row>
    <row r="991">
      <c r="B991" s="53"/>
    </row>
    <row r="992">
      <c r="B992" s="53"/>
    </row>
    <row r="993">
      <c r="B993" s="53"/>
    </row>
    <row r="994">
      <c r="B994" s="53"/>
    </row>
    <row r="995">
      <c r="B995" s="53"/>
    </row>
    <row r="996">
      <c r="B996" s="53"/>
    </row>
    <row r="997">
      <c r="B997" s="53"/>
    </row>
    <row r="998">
      <c r="B998" s="53"/>
    </row>
    <row r="999">
      <c r="B999" s="53"/>
    </row>
    <row r="1000">
      <c r="B1000" s="53"/>
    </row>
    <row r="1001">
      <c r="B1001" s="53"/>
    </row>
    <row r="1002">
      <c r="B1002" s="53"/>
    </row>
  </sheetData>
  <dataValidations>
    <dataValidation type="list" allowBlank="1" sqref="B1">
      <formula1>'Data Tab'!$T$1:$T1002</formula1>
    </dataValidation>
    <dataValidation type="list" allowBlank="1" showErrorMessage="1" sqref="B2">
      <formula1>"Consumer and Business Services,Canada,Financial Services &amp; Insurance,Healthcare, Life Sciences,Manufacturing, Auto, Energy,Retail/Consumer Goods,Technology, Media, Telecomm,Public Sector,Travel, Transportation, &amp; Hospitality,Mining"</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13"/>
    <col customWidth="1" min="2" max="2" width="30.25"/>
    <col customWidth="1" min="3" max="3" width="15.13"/>
    <col customWidth="1" min="4" max="4" width="28.13"/>
    <col customWidth="1" min="5" max="5" width="16.38"/>
    <col customWidth="1" min="6" max="6" width="11.13"/>
    <col hidden="1" min="7" max="7" width="12.63"/>
  </cols>
  <sheetData>
    <row r="1">
      <c r="B1" s="3" t="s">
        <v>3</v>
      </c>
      <c r="C1" s="18" t="s">
        <v>23</v>
      </c>
      <c r="E1" s="21" t="s">
        <v>25</v>
      </c>
    </row>
    <row r="2">
      <c r="B2" s="25" t="s">
        <v>27</v>
      </c>
      <c r="C2" s="28" t="s">
        <v>5</v>
      </c>
      <c r="D2" s="28" t="s">
        <v>31</v>
      </c>
      <c r="E2" s="58">
        <f>IFERROR(__xludf.DUMMYFUNCTION("IF(AND($D$2=""All"", $C$1=""All""), COUNTA('Data Tab'!C2:C1707), IF($D$2=""All"", COUNTIFS('Data Tab'!D2:D1707, ""&gt;="" &amp; REGEXEXTRACT($C$1, ""^\d+""), 'Data Tab'!D2:D1707, ""&lt;="" &amp; IFERROR(REGEXEXTRACT($C$1, ""- (\d+)""), 999999)), IF($C$1=""All"", COUNTI"&amp;"F('Data Tab'!C2:C1707, $D$2), COUNTIFS('Data Tab'!C2:C1707, $D$2, 'Data Tab'!D2:D1707, ""&gt;="" &amp; REGEXEXTRACT($C$1, ""^\d+""), 'Data Tab'!D2:D1707, ""&lt;="" &amp; IFERROR(REGEXEXTRACT($C$1, ""- (\d+)""), 999999)))))"),27.0)</f>
        <v>27</v>
      </c>
    </row>
    <row r="3">
      <c r="C3" s="28" t="s">
        <v>39</v>
      </c>
    </row>
    <row r="4">
      <c r="A4" s="61" t="s">
        <v>5</v>
      </c>
      <c r="B4" s="28" t="s">
        <v>43</v>
      </c>
      <c r="C4" s="62"/>
      <c r="D4" s="63"/>
      <c r="E4" s="62"/>
    </row>
    <row r="5" hidden="1">
      <c r="A5" s="64" t="s">
        <v>6</v>
      </c>
      <c r="B5" s="53">
        <f t="array" ref="B5">IF($B$2="","", INDEX('Data Tab'!D:D, MATCH($B$2, 'Data Tab'!A:A, 0)))</f>
        <v>20</v>
      </c>
      <c r="D5" s="69">
        <f>IFERROR(__xludf.DUMMYFUNCTION("IFERROR(AVERAGE(FILTER('Data Tab'!D$2:D1707, 'Data Tab'!$A$2:$A1707&lt;&gt;"""", IF($D$2=""All"", 'Data Tab'!$A$2:$A1707&lt;&gt;"""", 'Data Tab'!$C$2:$C1707=$D$2), IF($C$1=""All"", 'Data Tab'!$A$2:$A1707&lt;&gt;"""", VLOOKUP('Data Tab'!$A$2:$A1707, 'Helper Lists'!$B:$C, 2,"&amp;" FALSE)=$C$1))), ""--"")"),44.51851851851852)</f>
        <v>44.51851852</v>
      </c>
    </row>
    <row r="6" hidden="1">
      <c r="A6" s="64" t="s">
        <v>7</v>
      </c>
      <c r="B6" s="53">
        <f t="array" ref="B6">IF($B$2="","", INDEX('Data Tab'!E:E, MATCH($B$2, 'Data Tab'!A:A, 0)))</f>
        <v>0</v>
      </c>
      <c r="D6" s="69">
        <f>IFERROR(__xludf.DUMMYFUNCTION("IFERROR(AVERAGE(FILTER('Data Tab'!E$2:E1707, 'Data Tab'!$A$2:$A1707&lt;&gt;"""", IF($D$2=""All"", 'Data Tab'!$A$2:$A1707&lt;&gt;"""", 'Data Tab'!$C$2:$C1707=$D$2), IF($C$1=""All"", 'Data Tab'!$A$2:$A1707&lt;&gt;"""", VLOOKUP('Data Tab'!$A$2:$A1707, 'Helper Lists'!$B:$C, 2,"&amp;" FALSE)=$C$1))), ""--"")"),12.777777777777779)</f>
        <v>12.77777778</v>
      </c>
    </row>
    <row r="7" hidden="1">
      <c r="A7" s="64" t="s">
        <v>8</v>
      </c>
      <c r="B7" s="53">
        <f t="array" ref="B7">IF($B$2="","", INDEX('Data Tab'!F:F, MATCH($B$2, 'Data Tab'!A:A, 0)))</f>
        <v>5</v>
      </c>
      <c r="D7" s="69">
        <f>IFERROR(__xludf.DUMMYFUNCTION("IFERROR(AVERAGE(FILTER('Data Tab'!F$2:F1707, 'Data Tab'!$A$2:$A1707&lt;&gt;"""", IF($D$2=""All"", 'Data Tab'!$A$2:$A1707&lt;&gt;"""", 'Data Tab'!$C$2:$C1707=$D$2), IF($C$1=""All"", 'Data Tab'!$A$2:$A1707&lt;&gt;"""", VLOOKUP('Data Tab'!$A$2:$A1707, 'Helper Lists'!$B:$C, 2,"&amp;" FALSE)=$C$1))), ""--"")"),16.823529411764707)</f>
        <v>16.82352941</v>
      </c>
    </row>
    <row r="8" hidden="1">
      <c r="A8" s="64" t="s">
        <v>9</v>
      </c>
      <c r="B8" s="53">
        <f t="array" ref="B8">IF($B$2="","", INDEX('Data Tab'!G:G, MATCH($B$2, 'Data Tab'!A:A, 0)))</f>
        <v>15</v>
      </c>
      <c r="D8" s="69">
        <f>IFERROR(__xludf.DUMMYFUNCTION("IFERROR(AVERAGE(FILTER('Data Tab'!G$2:G1707, 'Data Tab'!$A$2:$A1707&lt;&gt;"""", IF($D$2=""All"", 'Data Tab'!$A$2:$A1707&lt;&gt;"""", 'Data Tab'!$C$2:$C1707=$D$2), IF($C$1=""All"", 'Data Tab'!$A$2:$A1707&lt;&gt;"""", VLOOKUP('Data Tab'!$A$2:$A1707, 'Helper Lists'!$B:$C, 2,"&amp;" FALSE)=$C$1))), ""--"")"),14.296296296296296)</f>
        <v>14.2962963</v>
      </c>
    </row>
    <row r="9" hidden="1">
      <c r="A9" s="64" t="s">
        <v>10</v>
      </c>
      <c r="B9" s="53">
        <f t="array" ref="B9">IF($B$2="","", INDEX('Data Tab'!H:H, MATCH($B$2, 'Data Tab'!A:A, 0)))</f>
        <v>5</v>
      </c>
      <c r="D9" s="69">
        <f>IFERROR(__xludf.DUMMYFUNCTION("IFERROR(AVERAGE(FILTER('Data Tab'!H$2:H1707, 'Data Tab'!$A$2:$A1707&lt;&gt;"""", IF($D$2=""All"", 'Data Tab'!$A$2:$A1707&lt;&gt;"""", 'Data Tab'!$C$2:$C1707=$D$2), IF($C$1=""All"", 'Data Tab'!$A$2:$A1707&lt;&gt;"""", VLOOKUP('Data Tab'!$A$2:$A1707, 'Helper Lists'!$B:$C, 2,"&amp;" FALSE)=$C$1))), ""--"")"),68.07407407407408)</f>
        <v>68.07407407</v>
      </c>
    </row>
    <row r="10" hidden="1">
      <c r="A10" s="64" t="s">
        <v>11</v>
      </c>
      <c r="B10" s="53">
        <f t="array" ref="B10">IF($B$2="","", INDEX('Data Tab'!I:I, MATCH($B$2, 'Data Tab'!A:A, 0)))</f>
        <v>0</v>
      </c>
      <c r="D10" s="69">
        <f>IFERROR(__xludf.DUMMYFUNCTION("IFERROR(AVERAGE(FILTER('Data Tab'!I$2:I1707, 'Data Tab'!$A$2:$A1707&lt;&gt;"""", IF($D$2=""All"", 'Data Tab'!$A$2:$A1707&lt;&gt;"""", 'Data Tab'!$C$2:$C1707=$D$2), IF($C$1=""All"", 'Data Tab'!$A$2:$A1707&lt;&gt;"""", VLOOKUP('Data Tab'!$A$2:$A1707, 'Helper Lists'!$B:$C, 2,"&amp;" FALSE)=$C$1))), ""--"")"),37.851851851851855)</f>
        <v>37.85185185</v>
      </c>
    </row>
    <row r="11" hidden="1">
      <c r="A11" s="64" t="s">
        <v>12</v>
      </c>
      <c r="B11" s="80">
        <f t="array" ref="B11">IF($B$2="","", INDEX('Data Tab'!J:J, MATCH($B$2, 'Data Tab'!A:A, 0)))</f>
        <v>0</v>
      </c>
      <c r="D11" s="81">
        <f>IFERROR(__xludf.DUMMYFUNCTION("IFERROR(AVERAGE(FILTER('Data Tab'!J$2:J1707, 'Data Tab'!$A$2:$A1707&lt;&gt;"""", IF($D$2=""All"", 'Data Tab'!$A$2:$A1707&lt;&gt;"""", 'Data Tab'!$C$2:$C1707=$D$2), IF($C$1=""All"", 'Data Tab'!$A$2:$A1707&lt;&gt;"""", VLOOKUP('Data Tab'!$A$2:$A1707, 'Helper Lists'!$B:$C, 2,"&amp;" FALSE)=$C$1))), ""--"")"),0.31174705882352943)</f>
        <v>0.3117470588</v>
      </c>
    </row>
    <row r="12" hidden="1">
      <c r="A12" s="64" t="s">
        <v>13</v>
      </c>
      <c r="B12" s="80">
        <f t="array" ref="B12">IF($B$2="","", INDEX('Data Tab'!K:K, MATCH($B$2, 'Data Tab'!A:A, 0)))</f>
        <v>0.25</v>
      </c>
      <c r="D12" s="81">
        <f>IFERROR(__xludf.DUMMYFUNCTION("IFERROR(AVERAGE(FILTER('Data Tab'!K$2:K1707, 'Data Tab'!$A$2:$A1707&lt;&gt;"""", IF($D$2=""All"", 'Data Tab'!$A$2:$A1707&lt;&gt;"""", 'Data Tab'!$C$2:$C1707=$D$2), IF($C$1=""All"", 'Data Tab'!$A$2:$A1707&lt;&gt;"""", VLOOKUP('Data Tab'!$A$2:$A1707, 'Helper Lists'!$B:$C, 2,"&amp;" FALSE)=$C$1))), ""--"")"),0.3920470588235294)</f>
        <v>0.3920470588</v>
      </c>
    </row>
    <row r="13" hidden="1">
      <c r="A13" s="64" t="s">
        <v>14</v>
      </c>
      <c r="B13" s="80">
        <f t="array" ref="B13">IF($B$2="","", INDEX('Data Tab'!L:L, MATCH($B$2, 'Data Tab'!A:A, 0)))</f>
        <v>0.75</v>
      </c>
      <c r="D13" s="81">
        <f>IFERROR(__xludf.DUMMYFUNCTION("IFERROR(AVERAGE(FILTER('Data Tab'!L$2:L1707, 'Data Tab'!$A$2:$A1707&lt;&gt;"""", IF($D$2=""All"", 'Data Tab'!$A$2:$A1707&lt;&gt;"""", 'Data Tab'!$C$2:$C1707=$D$2), IF($C$1=""All"", 'Data Tab'!$A$2:$A1707&lt;&gt;"""", VLOOKUP('Data Tab'!$A$2:$A1707, 'Helper Lists'!$B:$C, 2,"&amp;" FALSE)=$C$1))), ""--"")"),0.29622352941176466)</f>
        <v>0.2962235294</v>
      </c>
    </row>
    <row r="14" hidden="1">
      <c r="A14" s="64" t="s">
        <v>16</v>
      </c>
      <c r="B14" s="80">
        <f t="array" ref="B14">IF($B$2="","", INDEX('Data Tab'!N:N, MATCH($B$2, 'Data Tab'!A:A, 0)))</f>
        <v>0</v>
      </c>
      <c r="D14" s="81">
        <f>IFERROR(__xludf.DUMMYFUNCTION("IFERROR(AVERAGE(FILTER('Data Tab'!N$2:N1707, 'Data Tab'!$A$2:$A1707&lt;&gt;"""", IF($D$2=""All"", 'Data Tab'!$A$2:$A1707&lt;&gt;"""", 'Data Tab'!$C$2:$C1707=$D$2), IF($C$1=""All"", 'Data Tab'!$A$2:$A1707&lt;&gt;"""", VLOOKUP('Data Tab'!$A$2:$A1707, 'Helper Lists'!$B:$C, 2,"&amp;" FALSE)=$C$1))), ""--"")"),0.4487008072171733)</f>
        <v>0.4487008072</v>
      </c>
    </row>
    <row r="15" hidden="1">
      <c r="A15" s="64" t="s">
        <v>17</v>
      </c>
      <c r="B15" s="53">
        <f t="array" ref="B15">IF($B$2="","", INDEX('Data Tab'!O:O, MATCH($B$2, 'Data Tab'!A:A, 0)))</f>
        <v>1</v>
      </c>
      <c r="D15" s="85">
        <f>IFERROR(__xludf.DUMMYFUNCTION("IFERROR(AVERAGE(FILTER('Data Tab'!O$2:O1707, 'Data Tab'!$A$2:$A1707&lt;&gt;"""", IF($D$2=""All"", 'Data Tab'!$A$2:$A1707&lt;&gt;"""", 'Data Tab'!$C$2:$C1707=$D$2), IF($C$1=""All"", 'Data Tab'!$A$2:$A1707&lt;&gt;"""", VLOOKUP('Data Tab'!$A$2:$A1707, 'Helper Lists'!$B:$C, 2,"&amp;" FALSE)=$C$1))), ""--"")"),2.2227923982392577)</f>
        <v>2.222792398</v>
      </c>
    </row>
    <row r="16" hidden="1">
      <c r="A16" s="64" t="s">
        <v>18</v>
      </c>
      <c r="B16" s="53">
        <f t="array" ref="B16">IF($B$2="","", INDEX('Data Tab'!P:P, MATCH($B$2, 'Data Tab'!A:A, 0)))</f>
        <v>0.25</v>
      </c>
      <c r="D16" s="89">
        <f>IFERROR(__xludf.DUMMYFUNCTION("IFERROR(AVERAGE(FILTER('Data Tab'!P$2:P1707, 'Data Tab'!$A$2:$A1707&lt;&gt;"""", IF($D$2=""All"", 'Data Tab'!$A$2:$A1707&lt;&gt;"""", 'Data Tab'!$C$2:$C1707=$D$2), IF($C$1=""All"", 'Data Tab'!$A$2:$A1707&lt;&gt;"""", VLOOKUP('Data Tab'!$A$2:$A1707, 'Helper Lists'!$B:$C, 2,"&amp;" FALSE)=$C$1))), ""--"")"),1.5994433902593295)</f>
        <v>1.59944339</v>
      </c>
    </row>
    <row r="17">
      <c r="A17" s="90" t="s">
        <v>19</v>
      </c>
      <c r="B17" s="91">
        <f t="array" ref="B17">IF($B$2="","", INDEX('Data Tab'!Q:Q, MATCH($B$2, 'Data Tab'!A:A, 0)))</f>
        <v>0.25</v>
      </c>
      <c r="D17" s="92">
        <f>IFERROR(__xludf.DUMMYFUNCTION("IFERROR(IF(AND($D$2=""All"", $C$1=""All""), AVERAGE('Data Tab'!Q:Q), IF($D$2=""All"", AVERAGEIFS('Data Tab'!Q:Q, 'Data Tab'!D:D, ""&gt;="" &amp; REGEXEXTRACT($C$1, ""^\d+""), 'Data Tab'!D:D, ""&lt;="" &amp; IFERROR(REGEXEXTRACT($C$1, ""- (\d+)""), 999999)), IF($C$1=""A"&amp;"ll"", AVERAGEIF('Data Tab'!C:C, $D$2, 'Data Tab'!Q:Q), AVERAGEIFS('Data Tab'!Q:Q, 'Data Tab'!C:C, $D$2, 'Data Tab'!D:D, ""&gt;="" &amp; REGEXEXTRACT($C$1, ""^\d+""), 'Data Tab'!D:D, ""&lt;="" &amp; IFERROR(REGEXEXTRACT($C$1, ""- (\d+)""), 999999))))), ""-"")"),0.6886172894084034)</f>
        <v>0.6886172894</v>
      </c>
    </row>
    <row r="18">
      <c r="A18" s="90" t="s">
        <v>15</v>
      </c>
      <c r="B18" s="91" t="str">
        <f t="array" ref="B18">IF($B$2="","", INDEX('Data Tab'!M:M, MATCH($B$2, 'Data Tab'!A:A, 0)))</f>
        <v/>
      </c>
      <c r="D18" s="93">
        <f>IFERROR(__xludf.DUMMYFUNCTION("IFERROR(IF(AND($D$2=""All"", $C$1=""All""), AVERAGE('Data Tab'!M:M), IF($D$2=""All"", AVERAGEIFS('Data Tab'!M:M, 'Data Tab'!D:D, ""&gt;="" &amp; REGEXEXTRACT($C$1, ""^\d+""), 'Data Tab'!D:D, ""&lt;="" &amp; IFERROR(REGEXEXTRACT($C$1, ""- (\d+)""), 999999)), IF($C$1=""A"&amp;"ll"", AVERAGEIF('Data Tab'!C:C, $D$2, 'Data Tab'!M:M), AVERAGEIFS('Data Tab'!M:M, 'Data Tab'!C:C, $D$2, 'Data Tab'!D:D, ""&gt;="" &amp; REGEXEXTRACT($C$1, ""^\d+""), 'Data Tab'!D:D, ""&lt;="" &amp; IFERROR(REGEXEXTRACT($C$1, ""- (\d+)""), 999999))))), ""-"")"),0.4992181995456214)</f>
        <v>0.4992181995</v>
      </c>
      <c r="H18" s="94"/>
    </row>
    <row r="19">
      <c r="A19" s="90" t="s">
        <v>20</v>
      </c>
      <c r="B19" s="91">
        <f t="array" ref="B19">IF($B$2="","", INDEX('Data Tab'!R:R, MATCH($B$2, 'Data Tab'!A:A, 0)))</f>
        <v>0</v>
      </c>
      <c r="D19" s="93">
        <f>IFERROR(__xludf.DUMMYFUNCTION("IFERROR(IF(AND($D$2=""All"", $C$1=""All""), AVERAGE('Data Tab'!R:R), IF($D$2=""All"", AVERAGEIFS('Data Tab'!R:R, 'Data Tab'!D:D, ""&gt;="" &amp; REGEXEXTRACT($C$1, ""^\d+""), 'Data Tab'!D:D, ""&lt;="" &amp; IFERROR(REGEXEXTRACT($C$1, ""- (\d+)""), 999999)), IF($C$1=""A"&amp;"ll"", AVERAGEIF('Data Tab'!C:C, $D$2, 'Data Tab'!R:R), AVERAGEIFS('Data Tab'!R:R, 'Data Tab'!C:C, $D$2, 'Data Tab'!D:D, ""&gt;="" &amp; REGEXEXTRACT($C$1, ""^\d+""), 'Data Tab'!D:D, ""&lt;="" &amp; IFERROR(REGEXEXTRACT($C$1, ""- (\d+)""), 999999))))), ""-"")"),0.41669885580207644)</f>
        <v>0.4166988558</v>
      </c>
      <c r="H19" s="94"/>
    </row>
    <row r="20">
      <c r="A20" s="53"/>
      <c r="B20" s="53"/>
      <c r="H20" s="94"/>
    </row>
    <row r="21">
      <c r="A21" s="53"/>
      <c r="B21" s="95"/>
    </row>
    <row r="22">
      <c r="B22" s="53"/>
      <c r="C22" s="28"/>
    </row>
    <row r="23">
      <c r="A23" s="53"/>
      <c r="B23" s="53"/>
    </row>
    <row r="24">
      <c r="A24" s="53"/>
      <c r="B24" s="53"/>
    </row>
    <row r="25">
      <c r="A25" s="53"/>
      <c r="B25" s="53"/>
    </row>
    <row r="26" ht="2.25" customHeight="1">
      <c r="A26" s="53"/>
      <c r="B26" s="53"/>
    </row>
    <row r="27">
      <c r="A27" s="97" t="s">
        <v>432</v>
      </c>
    </row>
    <row r="28" ht="25.5" customHeight="1">
      <c r="A28" s="98" t="s">
        <v>437</v>
      </c>
      <c r="B28" s="98" t="s">
        <v>440</v>
      </c>
      <c r="C28" s="99" t="s">
        <v>15</v>
      </c>
      <c r="D28" s="99" t="s">
        <v>17</v>
      </c>
      <c r="E28" s="99" t="s">
        <v>19</v>
      </c>
      <c r="F28" s="99" t="s">
        <v>20</v>
      </c>
      <c r="G28" s="26" t="s">
        <v>447</v>
      </c>
    </row>
    <row r="29">
      <c r="A29" s="53" t="str">
        <f>IFERROR(__xludf.DUMMYFUNCTION("IFERROR(FILTER('Data Tab'!A2:A1707, ('Data Tab'!C2:C1707 = IF($D$2=""All"", 'Data Tab'!C2:C1707, $D$2)), IF($C$1=""All"", ROW('Data Tab'!A2:A1707)&gt;0, IFERROR(VLOOKUP('Data Tab'!A2:A1707, 'Helper Lists'!B:C, 2, FALSE)) = $C$1)), """")"),"Red Lobster")</f>
        <v>Red Lobster</v>
      </c>
      <c r="B29" s="28">
        <f>IFERROR(__xludf.DUMMYFUNCTION("IFERROR(FILTER('Data Tab'!D2:D1707, ('Data Tab'!C2:C1707 = IF($D$2=""All"", 'Data Tab'!C2:C1707, $D$2)), IF($C$1=""All"", ROW('Data Tab'!A2:A1707)&gt;0, IFERROR(VLOOKUP('Data Tab'!A2:A1707, 'Helper Lists'!B:C, 2, FALSE)) = $C$1)), """")"),42.0)</f>
        <v>42</v>
      </c>
      <c r="C29" s="53">
        <f>IFERROR(__xludf.DUMMYFUNCTION("IFERROR(FILTER('Data Tab'!M2:M1707, ('Data Tab'!C2:C1707 = IF($D$2=""All"", 'Data Tab'!C2:C1707, $D$2)), IF($C$1=""All"", ROW('Data Tab'!A2:A1707)&gt;0, IFERROR(VLOOKUP('Data Tab'!A2:A1707, 'Helper Lists'!B:C, 2, FALSE)) = $C$1)), """")"),0.711)</f>
        <v>0.711</v>
      </c>
      <c r="D29" s="53">
        <f>IFERROR(__xludf.DUMMYFUNCTION("IFERROR(FILTER('Data Tab'!O2:O1707, ('Data Tab'!C2:C1707 = IF($D$2=""All"", 'Data Tab'!C2:C1707, $D$2)), IF($C$1=""All"", ROW('Data Tab'!A2:A1707)&gt;0, IFERROR(VLOOKUP('Data Tab'!A2:A1707, 'Helper Lists'!B:C, 2, FALSE)) = $C$1)), """")"),4.1)</f>
        <v>4.1</v>
      </c>
      <c r="E29" s="53">
        <f>IFERROR(__xludf.DUMMYFUNCTION("IFERROR(FILTER('Data Tab'!Q2:Q1707, ('Data Tab'!C2:C1707 = IF($D$2=""All"", 'Data Tab'!C2:C1707, $D$2)), IF($C$1=""All"", ROW('Data Tab'!A2:A1707)&gt;0, IFERROR(VLOOKUP('Data Tab'!A2:A1707, 'Helper Lists'!B:C, 2, FALSE)) = $C$1)), """")"),0.7143)</f>
        <v>0.7143</v>
      </c>
      <c r="F29" s="53">
        <f>IFERROR(__xludf.DUMMYFUNCTION("IFERROR(FILTER('Data Tab'!R2:R1707, ('Data Tab'!C2:C1707 = IF($D$2=""All"", 'Data Tab'!C2:C1707, $D$2)), IF($C$1=""All"", ROW('Data Tab'!A2:A1707)&gt;0, IFERROR(VLOOKUP('Data Tab'!A2:A1707, 'Helper Lists'!B:C, 2, FALSE)) = $C$1)), """")"),0.4667)</f>
        <v>0.4667</v>
      </c>
      <c r="G29" s="68">
        <f t="array" ref="G29:G1707">IF(LEN(B29:B1707)&gt;1,1,"")</f>
        <v>1</v>
      </c>
    </row>
    <row r="30">
      <c r="A30" s="53" t="str">
        <f>IFERROR(__xludf.DUMMYFUNCTION("""COMPUTED_VALUE"""),"Yum! Brands")</f>
        <v>Yum! Brands</v>
      </c>
      <c r="B30" s="53">
        <f>IFERROR(__xludf.DUMMYFUNCTION("""COMPUTED_VALUE"""),48.0)</f>
        <v>48</v>
      </c>
      <c r="C30" s="53">
        <f>IFERROR(__xludf.DUMMYFUNCTION("""COMPUTED_VALUE"""),0.55)</f>
        <v>0.55</v>
      </c>
      <c r="D30" s="53">
        <f>IFERROR(__xludf.DUMMYFUNCTION("""COMPUTED_VALUE"""),2.22)</f>
        <v>2.22</v>
      </c>
      <c r="E30" s="53">
        <f>IFERROR(__xludf.DUMMYFUNCTION("""COMPUTED_VALUE"""),0.75)</f>
        <v>0.75</v>
      </c>
      <c r="F30" s="53">
        <f>IFERROR(__xludf.DUMMYFUNCTION("""COMPUTED_VALUE"""),0.44439999999999996)</f>
        <v>0.4444</v>
      </c>
      <c r="G30" s="68">
        <v>1.0</v>
      </c>
    </row>
    <row r="31">
      <c r="A31" s="53" t="str">
        <f>IFERROR(__xludf.DUMMYFUNCTION("""COMPUTED_VALUE"""),"saks")</f>
        <v>saks</v>
      </c>
      <c r="B31" s="53">
        <f>IFERROR(__xludf.DUMMYFUNCTION("""COMPUTED_VALUE"""),47.0)</f>
        <v>47</v>
      </c>
      <c r="C31" s="53">
        <f>IFERROR(__xludf.DUMMYFUNCTION("""COMPUTED_VALUE"""),0.653)</f>
        <v>0.653</v>
      </c>
      <c r="D31" s="53">
        <f>IFERROR(__xludf.DUMMYFUNCTION("""COMPUTED_VALUE"""),2.32)</f>
        <v>2.32</v>
      </c>
      <c r="E31" s="53">
        <f>IFERROR(__xludf.DUMMYFUNCTION("""COMPUTED_VALUE"""),0.7234)</f>
        <v>0.7234</v>
      </c>
      <c r="F31" s="53">
        <f>IFERROR(__xludf.DUMMYFUNCTION("""COMPUTED_VALUE"""),0.2353)</f>
        <v>0.2353</v>
      </c>
      <c r="G31" s="68">
        <v>1.0</v>
      </c>
    </row>
    <row r="32">
      <c r="A32" s="53" t="str">
        <f>IFERROR(__xludf.DUMMYFUNCTION("""COMPUTED_VALUE"""),"Weis Markets")</f>
        <v>Weis Markets</v>
      </c>
      <c r="B32" s="53">
        <f>IFERROR(__xludf.DUMMYFUNCTION("""COMPUTED_VALUE"""),31.0)</f>
        <v>31</v>
      </c>
      <c r="C32" s="53">
        <f>IFERROR(__xludf.DUMMYFUNCTION("""COMPUTED_VALUE"""),0.5217)</f>
        <v>0.5217</v>
      </c>
      <c r="D32" s="53">
        <f>IFERROR(__xludf.DUMMYFUNCTION("""COMPUTED_VALUE"""),2.09090909090909)</f>
        <v>2.090909091</v>
      </c>
      <c r="E32" s="53">
        <f>IFERROR(__xludf.DUMMYFUNCTION("""COMPUTED_VALUE"""),0.7097)</f>
        <v>0.7097</v>
      </c>
      <c r="F32" s="53">
        <f>IFERROR(__xludf.DUMMYFUNCTION("""COMPUTED_VALUE"""),0.5455)</f>
        <v>0.5455</v>
      </c>
      <c r="G32" s="68">
        <v>1.0</v>
      </c>
    </row>
    <row r="33">
      <c r="A33" s="53" t="str">
        <f>IFERROR(__xludf.DUMMYFUNCTION("""COMPUTED_VALUE"""),"Hot Topic")</f>
        <v>Hot Topic</v>
      </c>
      <c r="B33" s="53">
        <f>IFERROR(__xludf.DUMMYFUNCTION("""COMPUTED_VALUE"""),49.0)</f>
        <v>49</v>
      </c>
      <c r="C33" s="53">
        <f>IFERROR(__xludf.DUMMYFUNCTION("""COMPUTED_VALUE"""),0.4783)</f>
        <v>0.4783</v>
      </c>
      <c r="D33" s="53">
        <f>IFERROR(__xludf.DUMMYFUNCTION("""COMPUTED_VALUE"""),1.92)</f>
        <v>1.92</v>
      </c>
      <c r="E33" s="53">
        <f>IFERROR(__xludf.DUMMYFUNCTION("""COMPUTED_VALUE"""),0.24489999999999998)</f>
        <v>0.2449</v>
      </c>
      <c r="F33" s="53">
        <f>IFERROR(__xludf.DUMMYFUNCTION("""COMPUTED_VALUE"""),0.5)</f>
        <v>0.5</v>
      </c>
      <c r="G33" s="68">
        <v>1.0</v>
      </c>
    </row>
    <row r="34">
      <c r="A34" s="53" t="str">
        <f>IFERROR(__xludf.DUMMYFUNCTION("""COMPUTED_VALUE"""),"BATA Brands")</f>
        <v>BATA Brands</v>
      </c>
      <c r="B34" s="53">
        <f>IFERROR(__xludf.DUMMYFUNCTION("""COMPUTED_VALUE"""),51.0)</f>
        <v>51</v>
      </c>
      <c r="C34" s="53">
        <f>IFERROR(__xludf.DUMMYFUNCTION("""COMPUTED_VALUE"""),0.6666666666666666)</f>
        <v>0.6666666667</v>
      </c>
      <c r="D34" s="53">
        <f>IFERROR(__xludf.DUMMYFUNCTION("""COMPUTED_VALUE"""),3.0)</f>
        <v>3</v>
      </c>
      <c r="E34" s="53">
        <f>IFERROR(__xludf.DUMMYFUNCTION("""COMPUTED_VALUE"""),0.8627450980392157)</f>
        <v>0.862745098</v>
      </c>
      <c r="F34" s="53">
        <f>IFERROR(__xludf.DUMMYFUNCTION("""COMPUTED_VALUE"""),0.5227272727272727)</f>
        <v>0.5227272727</v>
      </c>
      <c r="G34" s="68">
        <v>1.0</v>
      </c>
    </row>
    <row r="35">
      <c r="A35" s="53" t="str">
        <f>IFERROR(__xludf.DUMMYFUNCTION("""COMPUTED_VALUE"""),"Calzedonia SPA")</f>
        <v>Calzedonia SPA</v>
      </c>
      <c r="B35" s="53">
        <f>IFERROR(__xludf.DUMMYFUNCTION("""COMPUTED_VALUE"""),36.0)</f>
        <v>36</v>
      </c>
      <c r="C35" s="53">
        <f>IFERROR(__xludf.DUMMYFUNCTION("""COMPUTED_VALUE"""),0.6376811594202898)</f>
        <v>0.6376811594</v>
      </c>
      <c r="D35" s="53">
        <f>IFERROR(__xludf.DUMMYFUNCTION("""COMPUTED_VALUE"""),2.76)</f>
        <v>2.76</v>
      </c>
      <c r="E35" s="53">
        <f>IFERROR(__xludf.DUMMYFUNCTION("""COMPUTED_VALUE"""),0.6944444444444444)</f>
        <v>0.6944444444</v>
      </c>
      <c r="F35" s="53">
        <f>IFERROR(__xludf.DUMMYFUNCTION("""COMPUTED_VALUE"""),0.44)</f>
        <v>0.44</v>
      </c>
      <c r="G35" s="68">
        <v>1.0</v>
      </c>
    </row>
    <row r="36">
      <c r="A36" s="53" t="str">
        <f>IFERROR(__xludf.DUMMYFUNCTION("""COMPUTED_VALUE"""),"Damm SA")</f>
        <v>Damm SA</v>
      </c>
      <c r="B36" s="53">
        <f>IFERROR(__xludf.DUMMYFUNCTION("""COMPUTED_VALUE"""),37.0)</f>
        <v>37</v>
      </c>
      <c r="C36" s="53">
        <f>IFERROR(__xludf.DUMMYFUNCTION("""COMPUTED_VALUE"""),0.4358974358974359)</f>
        <v>0.4358974359</v>
      </c>
      <c r="D36" s="53">
        <f>IFERROR(__xludf.DUMMYFUNCTION("""COMPUTED_VALUE"""),1.7727272727272727)</f>
        <v>1.772727273</v>
      </c>
      <c r="E36" s="53">
        <f>IFERROR(__xludf.DUMMYFUNCTION("""COMPUTED_VALUE"""),0.5945945945945946)</f>
        <v>0.5945945946</v>
      </c>
      <c r="F36" s="53">
        <f>IFERROR(__xludf.DUMMYFUNCTION("""COMPUTED_VALUE"""),0.4090909090909091)</f>
        <v>0.4090909091</v>
      </c>
      <c r="G36" s="68">
        <v>1.0</v>
      </c>
    </row>
    <row r="37">
      <c r="A37" s="53" t="str">
        <f>IFERROR(__xludf.DUMMYFUNCTION("""COMPUTED_VALUE"""),"Hunkemöller BV")</f>
        <v>Hunkemöller BV</v>
      </c>
      <c r="B37" s="53">
        <f>IFERROR(__xludf.DUMMYFUNCTION("""COMPUTED_VALUE"""),36.0)</f>
        <v>36</v>
      </c>
      <c r="C37" s="53">
        <f>IFERROR(__xludf.DUMMYFUNCTION("""COMPUTED_VALUE"""),0.5151515151515151)</f>
        <v>0.5151515152</v>
      </c>
      <c r="D37" s="53">
        <f>IFERROR(__xludf.DUMMYFUNCTION("""COMPUTED_VALUE"""),2.0625)</f>
        <v>2.0625</v>
      </c>
      <c r="E37" s="53">
        <f>IFERROR(__xludf.DUMMYFUNCTION("""COMPUTED_VALUE"""),0.8888888888888888)</f>
        <v>0.8888888889</v>
      </c>
      <c r="F37" s="53">
        <f>IFERROR(__xludf.DUMMYFUNCTION("""COMPUTED_VALUE"""),0.5)</f>
        <v>0.5</v>
      </c>
      <c r="G37" s="68">
        <v>1.0</v>
      </c>
    </row>
    <row r="38">
      <c r="A38" s="53" t="str">
        <f>IFERROR(__xludf.DUMMYFUNCTION("""COMPUTED_VALUE"""),"Mars")</f>
        <v>Mars</v>
      </c>
      <c r="B38" s="53">
        <f>IFERROR(__xludf.DUMMYFUNCTION("""COMPUTED_VALUE"""),60.0)</f>
        <v>60</v>
      </c>
      <c r="C38" s="53">
        <f>IFERROR(__xludf.DUMMYFUNCTION("""COMPUTED_VALUE"""),0.3620689655172414)</f>
        <v>0.3620689655</v>
      </c>
      <c r="D38" s="53">
        <f>IFERROR(__xludf.DUMMYFUNCTION("""COMPUTED_VALUE"""),1.5675675675675675)</f>
        <v>1.567567568</v>
      </c>
      <c r="E38" s="53">
        <f>IFERROR(__xludf.DUMMYFUNCTION("""COMPUTED_VALUE"""),0.6166666666666667)</f>
        <v>0.6166666667</v>
      </c>
      <c r="F38" s="53">
        <f>IFERROR(__xludf.DUMMYFUNCTION("""COMPUTED_VALUE"""),0.4594594594594595)</f>
        <v>0.4594594595</v>
      </c>
      <c r="G38" s="68">
        <v>1.0</v>
      </c>
    </row>
    <row r="39">
      <c r="A39" s="53" t="str">
        <f>IFERROR(__xludf.DUMMYFUNCTION("""COMPUTED_VALUE"""),"Newell Brands")</f>
        <v>Newell Brands</v>
      </c>
      <c r="B39" s="53">
        <f>IFERROR(__xludf.DUMMYFUNCTION("""COMPUTED_VALUE"""),47.0)</f>
        <v>47</v>
      </c>
      <c r="C39" s="53">
        <f>IFERROR(__xludf.DUMMYFUNCTION("""COMPUTED_VALUE"""),0.7604166666666666)</f>
        <v>0.7604166667</v>
      </c>
      <c r="D39" s="53">
        <f>IFERROR(__xludf.DUMMYFUNCTION("""COMPUTED_VALUE"""),4.173913043478261)</f>
        <v>4.173913043</v>
      </c>
      <c r="E39" s="53">
        <f>IFERROR(__xludf.DUMMYFUNCTION("""COMPUTED_VALUE"""),0.48936170212765956)</f>
        <v>0.4893617021</v>
      </c>
      <c r="F39" s="53">
        <f>IFERROR(__xludf.DUMMYFUNCTION("""COMPUTED_VALUE"""),0.5652173913043478)</f>
        <v>0.5652173913</v>
      </c>
      <c r="G39" s="68">
        <v>1.0</v>
      </c>
    </row>
    <row r="40">
      <c r="A40" s="53" t="str">
        <f>IFERROR(__xludf.DUMMYFUNCTION("""COMPUTED_VALUE"""),"Panera LLC")</f>
        <v>Panera LLC</v>
      </c>
      <c r="B40" s="53">
        <f>IFERROR(__xludf.DUMMYFUNCTION("""COMPUTED_VALUE"""),52.0)</f>
        <v>52</v>
      </c>
      <c r="C40" s="53">
        <f>IFERROR(__xludf.DUMMYFUNCTION("""COMPUTED_VALUE"""),0.3023255813953488)</f>
        <v>0.3023255814</v>
      </c>
      <c r="D40" s="53">
        <f>IFERROR(__xludf.DUMMYFUNCTION("""COMPUTED_VALUE"""),1.4333333333333333)</f>
        <v>1.433333333</v>
      </c>
      <c r="E40" s="53">
        <f>IFERROR(__xludf.DUMMYFUNCTION("""COMPUTED_VALUE"""),0.5769230769230769)</f>
        <v>0.5769230769</v>
      </c>
      <c r="F40" s="53">
        <f>IFERROR(__xludf.DUMMYFUNCTION("""COMPUTED_VALUE"""),0.16666666666666666)</f>
        <v>0.1666666667</v>
      </c>
      <c r="G40" s="68">
        <v>1.0</v>
      </c>
    </row>
    <row r="41">
      <c r="A41" s="53" t="str">
        <f>IFERROR(__xludf.DUMMYFUNCTION("""COMPUTED_VALUE"""),"Punto Fa S.L. - Mango")</f>
        <v>Punto Fa S.L. - Mango</v>
      </c>
      <c r="B41" s="53">
        <f>IFERROR(__xludf.DUMMYFUNCTION("""COMPUTED_VALUE"""),60.0)</f>
        <v>60</v>
      </c>
      <c r="C41" s="53">
        <f>IFERROR(__xludf.DUMMYFUNCTION("""COMPUTED_VALUE"""),0.21568627450980393)</f>
        <v>0.2156862745</v>
      </c>
      <c r="D41" s="53">
        <f>IFERROR(__xludf.DUMMYFUNCTION("""COMPUTED_VALUE"""),1.275)</f>
        <v>1.275</v>
      </c>
      <c r="E41" s="53">
        <f>IFERROR(__xludf.DUMMYFUNCTION("""COMPUTED_VALUE"""),0.6666666666666666)</f>
        <v>0.6666666667</v>
      </c>
      <c r="F41" s="53">
        <f>IFERROR(__xludf.DUMMYFUNCTION("""COMPUTED_VALUE"""),0.175)</f>
        <v>0.175</v>
      </c>
      <c r="G41" s="68">
        <v>1.0</v>
      </c>
    </row>
    <row r="42">
      <c r="A42" s="53" t="str">
        <f>IFERROR(__xludf.DUMMYFUNCTION("""COMPUTED_VALUE"""),"Safelite Group, Inc")</f>
        <v>Safelite Group, Inc</v>
      </c>
      <c r="B42" s="53">
        <f>IFERROR(__xludf.DUMMYFUNCTION("""COMPUTED_VALUE"""),37.0)</f>
        <v>37</v>
      </c>
      <c r="C42" s="53">
        <f>IFERROR(__xludf.DUMMYFUNCTION("""COMPUTED_VALUE"""),0.32432432432432434)</f>
        <v>0.3243243243</v>
      </c>
      <c r="D42" s="53">
        <f>IFERROR(__xludf.DUMMYFUNCTION("""COMPUTED_VALUE"""),1.48)</f>
        <v>1.48</v>
      </c>
      <c r="E42" s="53">
        <f>IFERROR(__xludf.DUMMYFUNCTION("""COMPUTED_VALUE"""),0.6756756756756757)</f>
        <v>0.6756756757</v>
      </c>
      <c r="F42" s="53">
        <f>IFERROR(__xludf.DUMMYFUNCTION("""COMPUTED_VALUE"""),0.32)</f>
        <v>0.32</v>
      </c>
      <c r="G42" s="68">
        <v>1.0</v>
      </c>
    </row>
    <row r="43">
      <c r="A43" s="53" t="str">
        <f>IFERROR(__xludf.DUMMYFUNCTION("""COMPUTED_VALUE"""),"SMCP_HQ")</f>
        <v>SMCP_HQ</v>
      </c>
      <c r="B43" s="53">
        <f>IFERROR(__xludf.DUMMYFUNCTION("""COMPUTED_VALUE"""),48.0)</f>
        <v>48</v>
      </c>
      <c r="C43" s="53">
        <f>IFERROR(__xludf.DUMMYFUNCTION("""COMPUTED_VALUE"""),0.625)</f>
        <v>0.625</v>
      </c>
      <c r="D43" s="53">
        <f>IFERROR(__xludf.DUMMYFUNCTION("""COMPUTED_VALUE"""),2.6666666666666665)</f>
        <v>2.666666667</v>
      </c>
      <c r="E43" s="53">
        <f>IFERROR(__xludf.DUMMYFUNCTION("""COMPUTED_VALUE"""),0.5625)</f>
        <v>0.5625</v>
      </c>
      <c r="F43" s="53">
        <f>IFERROR(__xludf.DUMMYFUNCTION("""COMPUTED_VALUE"""),0.4074074074074074)</f>
        <v>0.4074074074</v>
      </c>
      <c r="G43" s="68">
        <v>1.0</v>
      </c>
    </row>
    <row r="44">
      <c r="A44" s="53" t="str">
        <f>IFERROR(__xludf.DUMMYFUNCTION("""COMPUTED_VALUE"""),"MECCA")</f>
        <v>MECCA</v>
      </c>
      <c r="B44" s="53">
        <f>IFERROR(__xludf.DUMMYFUNCTION("""COMPUTED_VALUE"""),57.0)</f>
        <v>57</v>
      </c>
      <c r="C44" s="53">
        <f>IFERROR(__xludf.DUMMYFUNCTION("""COMPUTED_VALUE"""),0.5207999999999999)</f>
        <v>0.5208</v>
      </c>
      <c r="D44" s="53">
        <f>IFERROR(__xludf.DUMMYFUNCTION("""COMPUTED_VALUE"""),2.09)</f>
        <v>2.09</v>
      </c>
      <c r="E44" s="53">
        <f>IFERROR(__xludf.DUMMYFUNCTION("""COMPUTED_VALUE"""),0.4035)</f>
        <v>0.4035</v>
      </c>
      <c r="F44" s="53">
        <f>IFERROR(__xludf.DUMMYFUNCTION("""COMPUTED_VALUE"""),0.3478)</f>
        <v>0.3478</v>
      </c>
      <c r="G44" s="68">
        <v>1.0</v>
      </c>
    </row>
    <row r="45">
      <c r="A45" s="53" t="str">
        <f>IFERROR(__xludf.DUMMYFUNCTION("""COMPUTED_VALUE"""),"7-Eleven (Australia)")</f>
        <v>7-Eleven (Australia)</v>
      </c>
      <c r="B45" s="53">
        <f>IFERROR(__xludf.DUMMYFUNCTION("""COMPUTED_VALUE"""),43.0)</f>
        <v>43</v>
      </c>
      <c r="C45" s="53">
        <f>IFERROR(__xludf.DUMMYFUNCTION("""COMPUTED_VALUE"""),0.5)</f>
        <v>0.5</v>
      </c>
      <c r="D45" s="53">
        <f>IFERROR(__xludf.DUMMYFUNCTION("""COMPUTED_VALUE"""),2.0)</f>
        <v>2</v>
      </c>
      <c r="E45" s="53">
        <f>IFERROR(__xludf.DUMMYFUNCTION("""COMPUTED_VALUE"""),0.8371999999999999)</f>
        <v>0.8372</v>
      </c>
      <c r="F45" s="53">
        <f>IFERROR(__xludf.DUMMYFUNCTION("""COMPUTED_VALUE"""),0.4167)</f>
        <v>0.4167</v>
      </c>
      <c r="G45" s="68">
        <v>1.0</v>
      </c>
    </row>
    <row r="46">
      <c r="A46" s="28" t="str">
        <f>IFERROR(__xludf.DUMMYFUNCTION("""COMPUTED_VALUE"""),"The Clorox Company")</f>
        <v>The Clorox Company</v>
      </c>
      <c r="B46" s="28">
        <f>IFERROR(__xludf.DUMMYFUNCTION("""COMPUTED_VALUE"""),45.0)</f>
        <v>45</v>
      </c>
      <c r="C46" s="102">
        <f>IFERROR(__xludf.DUMMYFUNCTION("""COMPUTED_VALUE"""),0.3846)</f>
        <v>0.3846</v>
      </c>
      <c r="D46" s="28">
        <f>IFERROR(__xludf.DUMMYFUNCTION("""COMPUTED_VALUE"""),1.625)</f>
        <v>1.625</v>
      </c>
      <c r="E46" s="102">
        <f>IFERROR(__xludf.DUMMYFUNCTION("""COMPUTED_VALUE"""),0.5333)</f>
        <v>0.5333</v>
      </c>
      <c r="F46" s="102">
        <f>IFERROR(__xludf.DUMMYFUNCTION("""COMPUTED_VALUE"""),0.1667)</f>
        <v>0.1667</v>
      </c>
      <c r="G46" s="68">
        <v>1.0</v>
      </c>
    </row>
    <row r="47">
      <c r="A47" s="53" t="str">
        <f>IFERROR(__xludf.DUMMYFUNCTION("""COMPUTED_VALUE"""),"Casey's General Stores")</f>
        <v>Casey's General Stores</v>
      </c>
      <c r="B47" s="53">
        <f>IFERROR(__xludf.DUMMYFUNCTION("""COMPUTED_VALUE"""),51.0)</f>
        <v>51</v>
      </c>
      <c r="C47" s="53">
        <f>IFERROR(__xludf.DUMMYFUNCTION("""COMPUTED_VALUE"""),0.7423000000000001)</f>
        <v>0.7423</v>
      </c>
      <c r="D47" s="53">
        <f>IFERROR(__xludf.DUMMYFUNCTION("""COMPUTED_VALUE"""),3.88)</f>
        <v>3.88</v>
      </c>
      <c r="E47" s="53">
        <f>IFERROR(__xludf.DUMMYFUNCTION("""COMPUTED_VALUE"""),0.8234999999999999)</f>
        <v>0.8235</v>
      </c>
      <c r="F47" s="53">
        <f>IFERROR(__xludf.DUMMYFUNCTION("""COMPUTED_VALUE"""),0.7857)</f>
        <v>0.7857</v>
      </c>
      <c r="G47" s="68">
        <v>1.0</v>
      </c>
    </row>
    <row r="48">
      <c r="A48" s="53" t="str">
        <f>IFERROR(__xludf.DUMMYFUNCTION("""COMPUTED_VALUE"""),"New Customer")</f>
        <v>New Customer</v>
      </c>
      <c r="B48" s="53">
        <f>IFERROR(__xludf.DUMMYFUNCTION("""COMPUTED_VALUE"""),40.0)</f>
        <v>40</v>
      </c>
      <c r="C48" s="53">
        <f>IFERROR(__xludf.DUMMYFUNCTION("""COMPUTED_VALUE"""),0.3898)</f>
        <v>0.3898</v>
      </c>
      <c r="D48" s="53">
        <f>IFERROR(__xludf.DUMMYFUNCTION("""COMPUTED_VALUE"""),1.63888888888888)</f>
        <v>1.638888889</v>
      </c>
      <c r="E48" s="53">
        <f>IFERROR(__xludf.DUMMYFUNCTION("""COMPUTED_VALUE"""),0.9)</f>
        <v>0.9</v>
      </c>
      <c r="F48" s="53">
        <f>IFERROR(__xludf.DUMMYFUNCTION("""COMPUTED_VALUE"""),0.3889)</f>
        <v>0.3889</v>
      </c>
      <c r="G48" s="68">
        <v>1.0</v>
      </c>
    </row>
    <row r="49">
      <c r="A49" s="53" t="str">
        <f>IFERROR(__xludf.DUMMYFUNCTION("""COMPUTED_VALUE"""),"Picard SA")</f>
        <v>Picard SA</v>
      </c>
      <c r="B49" s="53">
        <f>IFERROR(__xludf.DUMMYFUNCTION("""COMPUTED_VALUE"""),40.0)</f>
        <v>40</v>
      </c>
      <c r="C49" s="53">
        <f>IFERROR(__xludf.DUMMYFUNCTION("""COMPUTED_VALUE"""),0.3898)</f>
        <v>0.3898</v>
      </c>
      <c r="D49" s="53">
        <f>IFERROR(__xludf.DUMMYFUNCTION("""COMPUTED_VALUE"""),1.63888888888888)</f>
        <v>1.638888889</v>
      </c>
      <c r="E49" s="53">
        <f>IFERROR(__xludf.DUMMYFUNCTION("""COMPUTED_VALUE"""),0.9)</f>
        <v>0.9</v>
      </c>
      <c r="F49" s="53">
        <f>IFERROR(__xludf.DUMMYFUNCTION("""COMPUTED_VALUE"""),0.3889)</f>
        <v>0.3889</v>
      </c>
      <c r="G49" s="68">
        <v>1.0</v>
      </c>
    </row>
    <row r="50">
      <c r="A50" s="53" t="str">
        <f>IFERROR(__xludf.DUMMYFUNCTION("""COMPUTED_VALUE"""),"KIKO SPA")</f>
        <v>KIKO SPA</v>
      </c>
      <c r="B50" s="53">
        <f>IFERROR(__xludf.DUMMYFUNCTION("""COMPUTED_VALUE"""),51.0)</f>
        <v>51</v>
      </c>
      <c r="C50" s="53">
        <f>IFERROR(__xludf.DUMMYFUNCTION("""COMPUTED_VALUE"""),0.5455)</f>
        <v>0.5455</v>
      </c>
      <c r="D50" s="53">
        <f>IFERROR(__xludf.DUMMYFUNCTION("""COMPUTED_VALUE"""),2.2)</f>
        <v>2.2</v>
      </c>
      <c r="E50" s="53">
        <f>IFERROR(__xludf.DUMMYFUNCTION("""COMPUTED_VALUE"""),0.7843000000000001)</f>
        <v>0.7843</v>
      </c>
      <c r="F50" s="53">
        <f>IFERROR(__xludf.DUMMYFUNCTION("""COMPUTED_VALUE"""),0.3)</f>
        <v>0.3</v>
      </c>
      <c r="G50" s="68">
        <v>1.0</v>
      </c>
    </row>
    <row r="51">
      <c r="A51" s="53" t="str">
        <f>IFERROR(__xludf.DUMMYFUNCTION("""COMPUTED_VALUE"""),"Barry Callebaut Service NV")</f>
        <v>Barry Callebaut Service NV</v>
      </c>
      <c r="B51" s="53">
        <f>IFERROR(__xludf.DUMMYFUNCTION("""COMPUTED_VALUE"""),39.0)</f>
        <v>39</v>
      </c>
      <c r="C51" s="53">
        <f>IFERROR(__xludf.DUMMYFUNCTION("""COMPUTED_VALUE"""),0.25)</f>
        <v>0.25</v>
      </c>
      <c r="D51" s="53">
        <f>IFERROR(__xludf.DUMMYFUNCTION("""COMPUTED_VALUE"""),1.33)</f>
        <v>1.33</v>
      </c>
      <c r="E51" s="53">
        <f>IFERROR(__xludf.DUMMYFUNCTION("""COMPUTED_VALUE"""),0.4615)</f>
        <v>0.4615</v>
      </c>
      <c r="F51" s="53">
        <f>IFERROR(__xludf.DUMMYFUNCTION("""COMPUTED_VALUE"""),0.1667)</f>
        <v>0.1667</v>
      </c>
      <c r="G51" s="68">
        <v>1.0</v>
      </c>
    </row>
    <row r="52">
      <c r="A52" s="53" t="str">
        <f>IFERROR(__xludf.DUMMYFUNCTION("""COMPUTED_VALUE"""),"Deciem")</f>
        <v>Deciem</v>
      </c>
      <c r="B52" s="53">
        <f>IFERROR(__xludf.DUMMYFUNCTION("""COMPUTED_VALUE"""),44.0)</f>
        <v>44</v>
      </c>
      <c r="C52" s="53"/>
      <c r="D52" s="53">
        <f>IFERROR(__xludf.DUMMYFUNCTION("""COMPUTED_VALUE"""),1.78)</f>
        <v>1.78</v>
      </c>
      <c r="E52" s="53">
        <f>IFERROR(__xludf.DUMMYFUNCTION("""COMPUTED_VALUE"""),0.6136)</f>
        <v>0.6136</v>
      </c>
      <c r="F52" s="53">
        <f>IFERROR(__xludf.DUMMYFUNCTION("""COMPUTED_VALUE"""),0.4815)</f>
        <v>0.4815</v>
      </c>
      <c r="G52" s="68">
        <v>1.0</v>
      </c>
    </row>
    <row r="53">
      <c r="A53" s="53" t="str">
        <f>IFERROR(__xludf.DUMMYFUNCTION("""COMPUTED_VALUE"""),"Moncler")</f>
        <v>Moncler</v>
      </c>
      <c r="B53" s="53">
        <f>IFERROR(__xludf.DUMMYFUNCTION("""COMPUTED_VALUE"""),34.0)</f>
        <v>34</v>
      </c>
      <c r="C53" s="53"/>
      <c r="D53" s="53">
        <f>IFERROR(__xludf.DUMMYFUNCTION("""COMPUTED_VALUE"""),1.89)</f>
        <v>1.89</v>
      </c>
      <c r="E53" s="53">
        <f>IFERROR(__xludf.DUMMYFUNCTION("""COMPUTED_VALUE"""),0.7941)</f>
        <v>0.7941</v>
      </c>
      <c r="F53" s="53">
        <f>IFERROR(__xludf.DUMMYFUNCTION("""COMPUTED_VALUE"""),0.4444)</f>
        <v>0.4444</v>
      </c>
      <c r="G53" s="68">
        <v>1.0</v>
      </c>
    </row>
    <row r="54">
      <c r="A54" s="53" t="str">
        <f>IFERROR(__xludf.DUMMYFUNCTION("""COMPUTED_VALUE"""),"Mars, Inc (Kellanova)")</f>
        <v>Mars, Inc (Kellanova)</v>
      </c>
      <c r="B54" s="53">
        <f>IFERROR(__xludf.DUMMYFUNCTION("""COMPUTED_VALUE"""),40.0)</f>
        <v>40</v>
      </c>
      <c r="C54" s="53"/>
      <c r="D54" s="53">
        <f>IFERROR(__xludf.DUMMYFUNCTION("""COMPUTED_VALUE"""),2.79)</f>
        <v>2.79</v>
      </c>
      <c r="E54" s="53">
        <f>IFERROR(__xludf.DUMMYFUNCTION("""COMPUTED_VALUE"""),0.825)</f>
        <v>0.825</v>
      </c>
      <c r="F54" s="53">
        <f>IFERROR(__xludf.DUMMYFUNCTION("""COMPUTED_VALUE"""),0.6061)</f>
        <v>0.6061</v>
      </c>
      <c r="G54" s="68">
        <v>1.0</v>
      </c>
    </row>
    <row r="55">
      <c r="A55" s="53" t="str">
        <f>IFERROR(__xludf.DUMMYFUNCTION("""COMPUTED_VALUE"""),"Picard Surgelés SAS")</f>
        <v>Picard Surgelés SAS</v>
      </c>
      <c r="B55" s="53">
        <f>IFERROR(__xludf.DUMMYFUNCTION("""COMPUTED_VALUE"""),37.0)</f>
        <v>37</v>
      </c>
      <c r="C55" s="53"/>
      <c r="D55" s="53">
        <f>IFERROR(__xludf.DUMMYFUNCTION("""COMPUTED_VALUE"""),2.31)</f>
        <v>2.31</v>
      </c>
      <c r="E55" s="53">
        <f>IFERROR(__xludf.DUMMYFUNCTION("""COMPUTED_VALUE"""),0.9459)</f>
        <v>0.9459</v>
      </c>
      <c r="F55" s="53">
        <f>IFERROR(__xludf.DUMMYFUNCTION("""COMPUTED_VALUE"""),0.6)</f>
        <v>0.6</v>
      </c>
      <c r="G55" s="68">
        <v>1.0</v>
      </c>
    </row>
    <row r="56">
      <c r="A56" s="53"/>
      <c r="B56" s="53"/>
      <c r="C56" s="53"/>
      <c r="D56" s="53"/>
      <c r="E56" s="53"/>
      <c r="F56" s="53"/>
      <c r="G56" s="68" t="s">
        <v>62</v>
      </c>
    </row>
    <row r="57">
      <c r="A57" s="53"/>
      <c r="B57" s="53"/>
      <c r="C57" s="53"/>
      <c r="D57" s="53"/>
      <c r="E57" s="53"/>
      <c r="F57" s="53"/>
      <c r="G57" s="68" t="s">
        <v>62</v>
      </c>
    </row>
    <row r="58">
      <c r="A58" s="53"/>
      <c r="B58" s="53"/>
      <c r="C58" s="53"/>
      <c r="D58" s="53"/>
      <c r="E58" s="53"/>
      <c r="F58" s="53"/>
      <c r="G58" s="68" t="s">
        <v>62</v>
      </c>
    </row>
    <row r="59">
      <c r="A59" s="53"/>
      <c r="B59" s="53"/>
      <c r="C59" s="53"/>
      <c r="D59" s="53"/>
      <c r="E59" s="53"/>
      <c r="F59" s="53"/>
      <c r="G59" s="68" t="s">
        <v>62</v>
      </c>
    </row>
    <row r="60">
      <c r="A60" s="53"/>
      <c r="B60" s="53"/>
      <c r="C60" s="53"/>
      <c r="D60" s="53"/>
      <c r="E60" s="53"/>
      <c r="F60" s="53"/>
      <c r="G60" s="68" t="s">
        <v>62</v>
      </c>
    </row>
    <row r="61">
      <c r="A61" s="53"/>
      <c r="B61" s="53"/>
      <c r="C61" s="53"/>
      <c r="D61" s="53"/>
      <c r="E61" s="53"/>
      <c r="F61" s="53"/>
      <c r="G61" s="68" t="s">
        <v>62</v>
      </c>
    </row>
    <row r="62">
      <c r="A62" s="53"/>
      <c r="B62" s="53"/>
      <c r="C62" s="53"/>
      <c r="D62" s="53"/>
      <c r="E62" s="53"/>
      <c r="F62" s="53"/>
      <c r="G62" s="68" t="s">
        <v>62</v>
      </c>
    </row>
    <row r="63">
      <c r="A63" s="53"/>
      <c r="B63" s="53"/>
      <c r="C63" s="53"/>
      <c r="D63" s="53"/>
      <c r="E63" s="53"/>
      <c r="F63" s="53"/>
      <c r="G63" s="68" t="s">
        <v>62</v>
      </c>
    </row>
    <row r="64">
      <c r="A64" s="53"/>
      <c r="B64" s="53"/>
      <c r="C64" s="53"/>
      <c r="D64" s="53"/>
      <c r="E64" s="53"/>
      <c r="F64" s="53"/>
      <c r="G64" s="68" t="s">
        <v>62</v>
      </c>
    </row>
    <row r="65">
      <c r="A65" s="53"/>
      <c r="B65" s="53"/>
      <c r="C65" s="53"/>
      <c r="D65" s="53"/>
      <c r="E65" s="53"/>
      <c r="F65" s="53"/>
      <c r="G65" s="68" t="s">
        <v>62</v>
      </c>
    </row>
    <row r="66">
      <c r="A66" s="53"/>
      <c r="B66" s="53"/>
      <c r="C66" s="53"/>
      <c r="D66" s="53"/>
      <c r="E66" s="53"/>
      <c r="F66" s="53"/>
      <c r="G66" s="68" t="s">
        <v>62</v>
      </c>
    </row>
    <row r="67">
      <c r="A67" s="53"/>
      <c r="B67" s="53"/>
      <c r="C67" s="53"/>
      <c r="D67" s="53"/>
      <c r="E67" s="53"/>
      <c r="F67" s="53"/>
      <c r="G67" s="68" t="s">
        <v>62</v>
      </c>
    </row>
    <row r="68">
      <c r="A68" s="53"/>
      <c r="B68" s="53"/>
      <c r="C68" s="53"/>
      <c r="D68" s="53"/>
      <c r="E68" s="53"/>
      <c r="F68" s="53"/>
      <c r="G68" s="68" t="s">
        <v>62</v>
      </c>
    </row>
    <row r="69">
      <c r="A69" s="53"/>
      <c r="B69" s="53"/>
      <c r="C69" s="53"/>
      <c r="D69" s="53"/>
      <c r="E69" s="53"/>
      <c r="F69" s="53"/>
      <c r="G69" s="68" t="s">
        <v>62</v>
      </c>
    </row>
    <row r="70">
      <c r="A70" s="53"/>
      <c r="B70" s="53"/>
      <c r="C70" s="53"/>
      <c r="D70" s="53"/>
      <c r="E70" s="53"/>
      <c r="F70" s="53"/>
      <c r="G70" s="68" t="s">
        <v>62</v>
      </c>
    </row>
    <row r="71">
      <c r="A71" s="53"/>
      <c r="B71" s="53"/>
      <c r="C71" s="53"/>
      <c r="D71" s="53"/>
      <c r="E71" s="53"/>
      <c r="F71" s="53"/>
      <c r="G71" s="68" t="s">
        <v>62</v>
      </c>
    </row>
    <row r="72">
      <c r="A72" s="53"/>
      <c r="B72" s="53"/>
      <c r="C72" s="53"/>
      <c r="D72" s="53"/>
      <c r="E72" s="53"/>
      <c r="F72" s="53"/>
      <c r="G72" s="68" t="s">
        <v>62</v>
      </c>
    </row>
    <row r="73">
      <c r="A73" s="53"/>
      <c r="B73" s="53"/>
      <c r="C73" s="53"/>
      <c r="D73" s="53"/>
      <c r="E73" s="53"/>
      <c r="F73" s="53"/>
      <c r="G73" s="68" t="s">
        <v>62</v>
      </c>
    </row>
    <row r="74">
      <c r="A74" s="53"/>
      <c r="B74" s="53"/>
      <c r="C74" s="53"/>
      <c r="D74" s="53"/>
      <c r="E74" s="53"/>
      <c r="F74" s="53"/>
      <c r="G74" s="68" t="s">
        <v>62</v>
      </c>
    </row>
    <row r="75">
      <c r="A75" s="53"/>
      <c r="B75" s="53"/>
      <c r="C75" s="53"/>
      <c r="D75" s="53"/>
      <c r="E75" s="53"/>
      <c r="F75" s="53"/>
      <c r="G75" s="68" t="s">
        <v>62</v>
      </c>
    </row>
    <row r="76">
      <c r="A76" s="53"/>
      <c r="B76" s="53"/>
      <c r="C76" s="53"/>
      <c r="D76" s="53"/>
      <c r="E76" s="53"/>
      <c r="F76" s="53"/>
      <c r="G76" s="68" t="s">
        <v>62</v>
      </c>
    </row>
    <row r="77">
      <c r="A77" s="53"/>
      <c r="B77" s="53"/>
      <c r="C77" s="53"/>
      <c r="D77" s="53"/>
      <c r="E77" s="53"/>
      <c r="F77" s="53"/>
      <c r="G77" s="68" t="s">
        <v>62</v>
      </c>
    </row>
    <row r="78">
      <c r="A78" s="53"/>
      <c r="B78" s="53"/>
      <c r="C78" s="53"/>
      <c r="D78" s="53"/>
      <c r="E78" s="53"/>
      <c r="F78" s="53"/>
      <c r="G78" s="68" t="s">
        <v>62</v>
      </c>
    </row>
    <row r="79">
      <c r="A79" s="53"/>
      <c r="B79" s="53"/>
      <c r="C79" s="53"/>
      <c r="D79" s="53"/>
      <c r="E79" s="53"/>
      <c r="F79" s="53"/>
      <c r="G79" s="68" t="s">
        <v>62</v>
      </c>
    </row>
    <row r="80">
      <c r="A80" s="53"/>
      <c r="B80" s="53"/>
      <c r="C80" s="53"/>
      <c r="D80" s="53"/>
      <c r="E80" s="53"/>
      <c r="F80" s="53"/>
      <c r="G80" s="68" t="s">
        <v>62</v>
      </c>
    </row>
    <row r="81">
      <c r="A81" s="53"/>
      <c r="B81" s="53"/>
      <c r="C81" s="53"/>
      <c r="D81" s="53"/>
      <c r="E81" s="53"/>
      <c r="F81" s="53"/>
      <c r="G81" s="68" t="s">
        <v>62</v>
      </c>
    </row>
    <row r="82">
      <c r="A82" s="53"/>
      <c r="B82" s="53"/>
      <c r="C82" s="53"/>
      <c r="D82" s="53"/>
      <c r="E82" s="53"/>
      <c r="F82" s="53"/>
      <c r="G82" s="68" t="s">
        <v>62</v>
      </c>
    </row>
    <row r="83">
      <c r="A83" s="53"/>
      <c r="B83" s="53"/>
      <c r="C83" s="53"/>
      <c r="D83" s="53"/>
      <c r="E83" s="53"/>
      <c r="F83" s="53"/>
      <c r="G83" s="68" t="s">
        <v>62</v>
      </c>
    </row>
    <row r="84">
      <c r="A84" s="53"/>
      <c r="B84" s="53"/>
      <c r="C84" s="53"/>
      <c r="D84" s="53"/>
      <c r="E84" s="53"/>
      <c r="F84" s="53"/>
      <c r="G84" s="68" t="s">
        <v>62</v>
      </c>
    </row>
    <row r="85">
      <c r="A85" s="53"/>
      <c r="B85" s="53"/>
      <c r="C85" s="53"/>
      <c r="D85" s="53"/>
      <c r="E85" s="53"/>
      <c r="F85" s="53"/>
      <c r="G85" s="68" t="s">
        <v>62</v>
      </c>
    </row>
    <row r="86">
      <c r="A86" s="53"/>
      <c r="B86" s="53"/>
      <c r="C86" s="53"/>
      <c r="D86" s="53"/>
      <c r="E86" s="53"/>
      <c r="F86" s="53"/>
      <c r="G86" s="68" t="s">
        <v>62</v>
      </c>
    </row>
    <row r="87">
      <c r="A87" s="53"/>
      <c r="B87" s="53"/>
      <c r="C87" s="53"/>
      <c r="D87" s="53"/>
      <c r="E87" s="53"/>
      <c r="F87" s="53"/>
      <c r="G87" s="68" t="s">
        <v>62</v>
      </c>
    </row>
    <row r="88">
      <c r="A88" s="53"/>
      <c r="B88" s="53"/>
      <c r="C88" s="53"/>
      <c r="D88" s="53"/>
      <c r="E88" s="53"/>
      <c r="F88" s="53"/>
      <c r="G88" s="68" t="s">
        <v>62</v>
      </c>
    </row>
    <row r="89">
      <c r="A89" s="53"/>
      <c r="B89" s="53"/>
      <c r="C89" s="53"/>
      <c r="D89" s="53"/>
      <c r="E89" s="53"/>
      <c r="F89" s="53"/>
      <c r="G89" s="68" t="s">
        <v>62</v>
      </c>
    </row>
    <row r="90">
      <c r="A90" s="53"/>
      <c r="B90" s="53"/>
      <c r="C90" s="53"/>
      <c r="D90" s="53"/>
      <c r="E90" s="53"/>
      <c r="F90" s="53"/>
      <c r="G90" s="68" t="s">
        <v>62</v>
      </c>
    </row>
    <row r="91">
      <c r="A91" s="53"/>
      <c r="B91" s="53"/>
      <c r="C91" s="53"/>
      <c r="D91" s="53"/>
      <c r="E91" s="53"/>
      <c r="F91" s="53"/>
      <c r="G91" s="68" t="s">
        <v>62</v>
      </c>
    </row>
    <row r="92">
      <c r="A92" s="53"/>
      <c r="B92" s="53"/>
      <c r="C92" s="53"/>
      <c r="D92" s="53"/>
      <c r="E92" s="53"/>
      <c r="F92" s="53"/>
      <c r="G92" s="68" t="s">
        <v>62</v>
      </c>
    </row>
    <row r="93">
      <c r="A93" s="53"/>
      <c r="B93" s="53"/>
      <c r="C93" s="53"/>
      <c r="D93" s="53"/>
      <c r="E93" s="53"/>
      <c r="F93" s="53"/>
      <c r="G93" s="68" t="s">
        <v>62</v>
      </c>
    </row>
    <row r="94">
      <c r="A94" s="53"/>
      <c r="B94" s="53"/>
      <c r="C94" s="53"/>
      <c r="D94" s="53"/>
      <c r="E94" s="53"/>
      <c r="F94" s="53"/>
      <c r="G94" s="68" t="s">
        <v>62</v>
      </c>
    </row>
    <row r="95">
      <c r="A95" s="53"/>
      <c r="B95" s="53"/>
      <c r="C95" s="53"/>
      <c r="D95" s="53"/>
      <c r="E95" s="53"/>
      <c r="F95" s="53"/>
      <c r="G95" s="68" t="s">
        <v>62</v>
      </c>
    </row>
    <row r="96">
      <c r="A96" s="53"/>
      <c r="B96" s="53"/>
      <c r="C96" s="53"/>
      <c r="D96" s="53"/>
      <c r="E96" s="53"/>
      <c r="F96" s="53"/>
      <c r="G96" s="68" t="s">
        <v>62</v>
      </c>
    </row>
    <row r="97">
      <c r="A97" s="53"/>
      <c r="B97" s="53"/>
      <c r="C97" s="53"/>
      <c r="D97" s="53"/>
      <c r="E97" s="53"/>
      <c r="F97" s="53"/>
      <c r="G97" s="68" t="s">
        <v>62</v>
      </c>
    </row>
    <row r="98">
      <c r="A98" s="53"/>
      <c r="B98" s="53"/>
      <c r="C98" s="53"/>
      <c r="D98" s="53"/>
      <c r="E98" s="53"/>
      <c r="F98" s="53"/>
      <c r="G98" s="68" t="s">
        <v>62</v>
      </c>
    </row>
    <row r="99">
      <c r="A99" s="53"/>
      <c r="B99" s="53"/>
      <c r="C99" s="53"/>
      <c r="D99" s="53"/>
      <c r="E99" s="53"/>
      <c r="F99" s="53"/>
      <c r="G99" s="68" t="s">
        <v>62</v>
      </c>
    </row>
    <row r="100">
      <c r="A100" s="53"/>
      <c r="B100" s="53"/>
      <c r="C100" s="53"/>
      <c r="D100" s="53"/>
      <c r="E100" s="53"/>
      <c r="F100" s="53"/>
      <c r="G100" s="68" t="s">
        <v>62</v>
      </c>
    </row>
    <row r="101">
      <c r="A101" s="53"/>
      <c r="B101" s="53"/>
      <c r="C101" s="53"/>
      <c r="D101" s="53"/>
      <c r="E101" s="53"/>
      <c r="F101" s="53"/>
      <c r="G101" s="68" t="s">
        <v>62</v>
      </c>
    </row>
    <row r="102">
      <c r="A102" s="53"/>
      <c r="B102" s="53"/>
      <c r="C102" s="53"/>
      <c r="D102" s="53"/>
      <c r="E102" s="53"/>
      <c r="F102" s="53"/>
      <c r="G102" s="68" t="s">
        <v>62</v>
      </c>
    </row>
    <row r="103">
      <c r="A103" s="53"/>
      <c r="B103" s="53"/>
      <c r="C103" s="53"/>
      <c r="D103" s="53"/>
      <c r="E103" s="53"/>
      <c r="F103" s="53"/>
      <c r="G103" s="68" t="s">
        <v>62</v>
      </c>
    </row>
    <row r="104">
      <c r="A104" s="53"/>
      <c r="B104" s="53"/>
      <c r="C104" s="53"/>
      <c r="D104" s="53"/>
      <c r="E104" s="53"/>
      <c r="F104" s="53"/>
      <c r="G104" s="68" t="s">
        <v>62</v>
      </c>
    </row>
    <row r="105">
      <c r="A105" s="53"/>
      <c r="B105" s="53"/>
      <c r="C105" s="53"/>
      <c r="D105" s="53"/>
      <c r="E105" s="53"/>
      <c r="F105" s="53"/>
      <c r="G105" s="68" t="s">
        <v>62</v>
      </c>
    </row>
    <row r="106">
      <c r="A106" s="53"/>
      <c r="B106" s="53"/>
      <c r="C106" s="53"/>
      <c r="D106" s="53"/>
      <c r="E106" s="53"/>
      <c r="F106" s="53"/>
      <c r="G106" s="68" t="s">
        <v>62</v>
      </c>
    </row>
    <row r="107">
      <c r="A107" s="53"/>
      <c r="B107" s="53"/>
      <c r="C107" s="53"/>
      <c r="D107" s="53"/>
      <c r="E107" s="53"/>
      <c r="F107" s="53"/>
      <c r="G107" s="68" t="s">
        <v>62</v>
      </c>
    </row>
    <row r="108">
      <c r="A108" s="53"/>
      <c r="B108" s="53"/>
      <c r="C108" s="53"/>
      <c r="D108" s="53"/>
      <c r="E108" s="53"/>
      <c r="F108" s="53"/>
      <c r="G108" s="68" t="s">
        <v>62</v>
      </c>
    </row>
    <row r="109">
      <c r="A109" s="53"/>
      <c r="B109" s="53"/>
      <c r="C109" s="53"/>
      <c r="D109" s="53"/>
      <c r="E109" s="53"/>
      <c r="F109" s="53"/>
      <c r="G109" s="68" t="s">
        <v>62</v>
      </c>
    </row>
    <row r="110">
      <c r="A110" s="53"/>
      <c r="B110" s="53"/>
      <c r="C110" s="53"/>
      <c r="D110" s="53"/>
      <c r="E110" s="53"/>
      <c r="F110" s="53"/>
      <c r="G110" s="68" t="s">
        <v>62</v>
      </c>
    </row>
    <row r="111">
      <c r="A111" s="53"/>
      <c r="B111" s="53"/>
      <c r="C111" s="53"/>
      <c r="D111" s="53"/>
      <c r="E111" s="53"/>
      <c r="F111" s="53"/>
      <c r="G111" s="68" t="s">
        <v>62</v>
      </c>
    </row>
    <row r="112">
      <c r="A112" s="53"/>
      <c r="B112" s="53"/>
      <c r="C112" s="53"/>
      <c r="D112" s="53"/>
      <c r="E112" s="53"/>
      <c r="F112" s="53"/>
      <c r="G112" s="68" t="s">
        <v>62</v>
      </c>
    </row>
    <row r="113">
      <c r="A113" s="53"/>
      <c r="B113" s="53"/>
      <c r="C113" s="53"/>
      <c r="D113" s="53"/>
      <c r="E113" s="53"/>
      <c r="F113" s="53"/>
      <c r="G113" s="68" t="s">
        <v>62</v>
      </c>
    </row>
    <row r="114">
      <c r="A114" s="53"/>
      <c r="B114" s="53"/>
      <c r="C114" s="53"/>
      <c r="D114" s="53"/>
      <c r="E114" s="53"/>
      <c r="F114" s="53"/>
      <c r="G114" s="68" t="s">
        <v>62</v>
      </c>
    </row>
    <row r="115">
      <c r="A115" s="53"/>
      <c r="B115" s="53"/>
      <c r="C115" s="53"/>
      <c r="D115" s="53"/>
      <c r="E115" s="53"/>
      <c r="F115" s="53"/>
      <c r="G115" s="68" t="s">
        <v>62</v>
      </c>
    </row>
    <row r="116">
      <c r="A116" s="53"/>
      <c r="B116" s="53"/>
      <c r="C116" s="53"/>
      <c r="D116" s="53"/>
      <c r="E116" s="53"/>
      <c r="F116" s="53"/>
      <c r="G116" s="68" t="s">
        <v>62</v>
      </c>
    </row>
    <row r="117">
      <c r="A117" s="53"/>
      <c r="B117" s="53"/>
      <c r="C117" s="53"/>
      <c r="D117" s="53"/>
      <c r="E117" s="53"/>
      <c r="F117" s="53"/>
      <c r="G117" s="68" t="s">
        <v>62</v>
      </c>
    </row>
    <row r="118">
      <c r="A118" s="53"/>
      <c r="B118" s="53"/>
      <c r="C118" s="53"/>
      <c r="D118" s="53"/>
      <c r="E118" s="53"/>
      <c r="F118" s="53"/>
      <c r="G118" s="68" t="s">
        <v>62</v>
      </c>
    </row>
    <row r="119">
      <c r="A119" s="53"/>
      <c r="B119" s="53"/>
      <c r="C119" s="53"/>
      <c r="D119" s="53"/>
      <c r="E119" s="53"/>
      <c r="F119" s="53"/>
      <c r="G119" s="68" t="s">
        <v>62</v>
      </c>
    </row>
    <row r="120">
      <c r="A120" s="53"/>
      <c r="B120" s="53"/>
      <c r="C120" s="53"/>
      <c r="D120" s="53"/>
      <c r="E120" s="53"/>
      <c r="F120" s="53"/>
      <c r="G120" s="68" t="s">
        <v>62</v>
      </c>
    </row>
    <row r="121">
      <c r="A121" s="53"/>
      <c r="B121" s="53"/>
      <c r="C121" s="53"/>
      <c r="D121" s="53"/>
      <c r="E121" s="53"/>
      <c r="F121" s="53"/>
      <c r="G121" s="68" t="s">
        <v>62</v>
      </c>
    </row>
    <row r="122">
      <c r="A122" s="53"/>
      <c r="B122" s="53"/>
      <c r="C122" s="53"/>
      <c r="D122" s="53"/>
      <c r="E122" s="53"/>
      <c r="F122" s="53"/>
      <c r="G122" s="68" t="s">
        <v>62</v>
      </c>
    </row>
    <row r="123">
      <c r="A123" s="53"/>
      <c r="B123" s="53"/>
      <c r="C123" s="53"/>
      <c r="D123" s="53"/>
      <c r="E123" s="53"/>
      <c r="F123" s="53"/>
      <c r="G123" s="68" t="s">
        <v>62</v>
      </c>
    </row>
    <row r="124">
      <c r="A124" s="53"/>
      <c r="B124" s="53"/>
      <c r="C124" s="53"/>
      <c r="D124" s="53"/>
      <c r="E124" s="53"/>
      <c r="F124" s="53"/>
      <c r="G124" s="68" t="s">
        <v>62</v>
      </c>
    </row>
    <row r="125">
      <c r="A125" s="53"/>
      <c r="B125" s="53"/>
      <c r="C125" s="53"/>
      <c r="D125" s="53"/>
      <c r="E125" s="53"/>
      <c r="F125" s="53"/>
      <c r="G125" s="68" t="s">
        <v>62</v>
      </c>
    </row>
    <row r="126">
      <c r="A126" s="53"/>
      <c r="B126" s="53"/>
      <c r="C126" s="53"/>
      <c r="D126" s="53"/>
      <c r="E126" s="53"/>
      <c r="F126" s="53"/>
      <c r="G126" s="68" t="s">
        <v>62</v>
      </c>
    </row>
    <row r="127">
      <c r="A127" s="53"/>
      <c r="B127" s="53"/>
      <c r="C127" s="53"/>
      <c r="D127" s="53"/>
      <c r="E127" s="53"/>
      <c r="F127" s="53"/>
      <c r="G127" s="68" t="s">
        <v>62</v>
      </c>
    </row>
    <row r="128">
      <c r="A128" s="53"/>
      <c r="B128" s="53"/>
      <c r="C128" s="53"/>
      <c r="D128" s="53"/>
      <c r="E128" s="53"/>
      <c r="F128" s="53"/>
      <c r="G128" s="68" t="s">
        <v>62</v>
      </c>
    </row>
    <row r="129">
      <c r="A129" s="53"/>
      <c r="B129" s="53"/>
      <c r="C129" s="53"/>
      <c r="D129" s="53"/>
      <c r="E129" s="53"/>
      <c r="F129" s="53"/>
      <c r="G129" s="68" t="s">
        <v>62</v>
      </c>
    </row>
    <row r="130">
      <c r="A130" s="53"/>
      <c r="B130" s="53"/>
      <c r="C130" s="53"/>
      <c r="D130" s="53"/>
      <c r="E130" s="53"/>
      <c r="F130" s="53"/>
      <c r="G130" s="68" t="s">
        <v>62</v>
      </c>
    </row>
    <row r="131">
      <c r="A131" s="53"/>
      <c r="B131" s="53"/>
      <c r="C131" s="53"/>
      <c r="D131" s="53"/>
      <c r="E131" s="53"/>
      <c r="F131" s="53"/>
      <c r="G131" s="68" t="s">
        <v>62</v>
      </c>
    </row>
    <row r="132">
      <c r="A132" s="53"/>
      <c r="B132" s="53"/>
      <c r="C132" s="53"/>
      <c r="D132" s="53"/>
      <c r="E132" s="53"/>
      <c r="F132" s="53"/>
      <c r="G132" s="68" t="s">
        <v>62</v>
      </c>
    </row>
    <row r="133">
      <c r="A133" s="53"/>
      <c r="B133" s="53"/>
      <c r="C133" s="53"/>
      <c r="D133" s="53"/>
      <c r="E133" s="53"/>
      <c r="F133" s="53"/>
      <c r="G133" s="68" t="s">
        <v>62</v>
      </c>
    </row>
    <row r="134">
      <c r="A134" s="53"/>
      <c r="B134" s="53"/>
      <c r="C134" s="53"/>
      <c r="D134" s="53"/>
      <c r="E134" s="53"/>
      <c r="F134" s="53"/>
      <c r="G134" s="68" t="s">
        <v>62</v>
      </c>
    </row>
    <row r="135">
      <c r="A135" s="53"/>
      <c r="B135" s="53"/>
      <c r="C135" s="53"/>
      <c r="D135" s="53"/>
      <c r="E135" s="53"/>
      <c r="F135" s="53"/>
      <c r="G135" s="68" t="s">
        <v>62</v>
      </c>
    </row>
    <row r="136">
      <c r="A136" s="53"/>
      <c r="B136" s="53"/>
      <c r="C136" s="53"/>
      <c r="D136" s="53"/>
      <c r="E136" s="53"/>
      <c r="F136" s="53"/>
      <c r="G136" s="68" t="s">
        <v>62</v>
      </c>
    </row>
    <row r="137">
      <c r="A137" s="53"/>
      <c r="B137" s="53"/>
      <c r="C137" s="53"/>
      <c r="D137" s="53"/>
      <c r="E137" s="53"/>
      <c r="F137" s="53"/>
      <c r="G137" s="68" t="s">
        <v>62</v>
      </c>
    </row>
    <row r="138">
      <c r="A138" s="53"/>
      <c r="B138" s="53"/>
      <c r="C138" s="53"/>
      <c r="D138" s="53"/>
      <c r="E138" s="53"/>
      <c r="F138" s="53"/>
      <c r="G138" s="68" t="s">
        <v>62</v>
      </c>
    </row>
    <row r="139">
      <c r="A139" s="53"/>
      <c r="B139" s="53"/>
      <c r="C139" s="53"/>
      <c r="D139" s="53"/>
      <c r="E139" s="53"/>
      <c r="F139" s="53"/>
      <c r="G139" s="68" t="s">
        <v>62</v>
      </c>
    </row>
    <row r="140">
      <c r="A140" s="53"/>
      <c r="B140" s="53"/>
      <c r="C140" s="53"/>
      <c r="D140" s="53"/>
      <c r="E140" s="53"/>
      <c r="F140" s="53"/>
      <c r="G140" s="68" t="s">
        <v>62</v>
      </c>
    </row>
    <row r="141">
      <c r="A141" s="53"/>
      <c r="B141" s="53"/>
      <c r="C141" s="53"/>
      <c r="D141" s="53"/>
      <c r="E141" s="53"/>
      <c r="F141" s="53"/>
      <c r="G141" s="68" t="s">
        <v>62</v>
      </c>
    </row>
    <row r="142">
      <c r="A142" s="53"/>
      <c r="B142" s="53"/>
      <c r="C142" s="53"/>
      <c r="D142" s="53"/>
      <c r="E142" s="53"/>
      <c r="F142" s="53"/>
      <c r="G142" s="68" t="s">
        <v>62</v>
      </c>
    </row>
    <row r="143">
      <c r="A143" s="53"/>
      <c r="B143" s="53"/>
      <c r="C143" s="53"/>
      <c r="D143" s="53"/>
      <c r="E143" s="53"/>
      <c r="F143" s="53"/>
      <c r="G143" s="68" t="s">
        <v>62</v>
      </c>
    </row>
    <row r="144">
      <c r="A144" s="53"/>
      <c r="B144" s="53"/>
      <c r="C144" s="53"/>
      <c r="D144" s="53"/>
      <c r="E144" s="53"/>
      <c r="F144" s="53"/>
      <c r="G144" s="68" t="s">
        <v>62</v>
      </c>
    </row>
    <row r="145">
      <c r="A145" s="53"/>
      <c r="B145" s="53"/>
      <c r="C145" s="53"/>
      <c r="D145" s="53"/>
      <c r="E145" s="53"/>
      <c r="F145" s="53"/>
      <c r="G145" s="68" t="s">
        <v>62</v>
      </c>
    </row>
    <row r="146">
      <c r="A146" s="53"/>
      <c r="B146" s="53"/>
      <c r="C146" s="53"/>
      <c r="D146" s="53"/>
      <c r="E146" s="53"/>
      <c r="F146" s="53"/>
      <c r="G146" s="68" t="s">
        <v>62</v>
      </c>
    </row>
    <row r="147">
      <c r="A147" s="53"/>
      <c r="B147" s="53"/>
      <c r="C147" s="53"/>
      <c r="D147" s="53"/>
      <c r="E147" s="53"/>
      <c r="F147" s="53"/>
      <c r="G147" s="68" t="s">
        <v>62</v>
      </c>
    </row>
    <row r="148">
      <c r="A148" s="53"/>
      <c r="B148" s="53"/>
      <c r="C148" s="53"/>
      <c r="D148" s="53"/>
      <c r="E148" s="53"/>
      <c r="F148" s="53"/>
      <c r="G148" s="68" t="s">
        <v>62</v>
      </c>
    </row>
    <row r="149">
      <c r="A149" s="53"/>
      <c r="B149" s="53"/>
      <c r="C149" s="53"/>
      <c r="D149" s="53"/>
      <c r="E149" s="53"/>
      <c r="F149" s="53"/>
      <c r="G149" s="68" t="s">
        <v>62</v>
      </c>
    </row>
    <row r="150">
      <c r="A150" s="53"/>
      <c r="B150" s="53"/>
      <c r="C150" s="53"/>
      <c r="D150" s="53"/>
      <c r="E150" s="53"/>
      <c r="F150" s="53"/>
      <c r="G150" s="68" t="s">
        <v>62</v>
      </c>
    </row>
    <row r="151">
      <c r="A151" s="53"/>
      <c r="B151" s="53"/>
      <c r="C151" s="53"/>
      <c r="D151" s="53"/>
      <c r="E151" s="53"/>
      <c r="F151" s="53"/>
      <c r="G151" s="68" t="s">
        <v>62</v>
      </c>
    </row>
    <row r="152">
      <c r="A152" s="53"/>
      <c r="B152" s="53"/>
      <c r="C152" s="53"/>
      <c r="D152" s="53"/>
      <c r="E152" s="53"/>
      <c r="F152" s="53"/>
      <c r="G152" s="68" t="s">
        <v>62</v>
      </c>
    </row>
    <row r="153">
      <c r="A153" s="53"/>
      <c r="B153" s="53"/>
      <c r="C153" s="53"/>
      <c r="D153" s="53"/>
      <c r="E153" s="53"/>
      <c r="F153" s="53"/>
      <c r="G153" s="68" t="s">
        <v>62</v>
      </c>
    </row>
    <row r="154">
      <c r="A154" s="53"/>
      <c r="B154" s="53"/>
      <c r="C154" s="53"/>
      <c r="D154" s="53"/>
      <c r="E154" s="53"/>
      <c r="F154" s="53"/>
      <c r="G154" s="68" t="s">
        <v>62</v>
      </c>
    </row>
    <row r="155">
      <c r="A155" s="53"/>
      <c r="B155" s="53"/>
      <c r="C155" s="53"/>
      <c r="D155" s="53"/>
      <c r="E155" s="53"/>
      <c r="F155" s="53"/>
      <c r="G155" s="68" t="s">
        <v>62</v>
      </c>
    </row>
    <row r="156">
      <c r="A156" s="53"/>
      <c r="B156" s="53"/>
      <c r="C156" s="53"/>
      <c r="D156" s="53"/>
      <c r="E156" s="53"/>
      <c r="F156" s="53"/>
      <c r="G156" s="68" t="s">
        <v>62</v>
      </c>
    </row>
    <row r="157">
      <c r="A157" s="53"/>
      <c r="B157" s="53"/>
      <c r="C157" s="53"/>
      <c r="D157" s="53"/>
      <c r="E157" s="53"/>
      <c r="F157" s="53"/>
      <c r="G157" s="68" t="s">
        <v>62</v>
      </c>
    </row>
    <row r="158">
      <c r="A158" s="53"/>
      <c r="B158" s="53"/>
      <c r="C158" s="53"/>
      <c r="D158" s="53"/>
      <c r="E158" s="53"/>
      <c r="F158" s="53"/>
      <c r="G158" s="68" t="s">
        <v>62</v>
      </c>
    </row>
    <row r="159">
      <c r="A159" s="53"/>
      <c r="B159" s="53"/>
      <c r="C159" s="53"/>
      <c r="D159" s="53"/>
      <c r="E159" s="53"/>
      <c r="F159" s="53"/>
      <c r="G159" s="68" t="s">
        <v>62</v>
      </c>
    </row>
    <row r="160">
      <c r="A160" s="53"/>
      <c r="B160" s="53"/>
      <c r="C160" s="53"/>
      <c r="D160" s="53"/>
      <c r="E160" s="53"/>
      <c r="F160" s="53"/>
      <c r="G160" s="68" t="s">
        <v>62</v>
      </c>
    </row>
    <row r="161">
      <c r="A161" s="53"/>
      <c r="B161" s="53"/>
      <c r="C161" s="53"/>
      <c r="D161" s="53"/>
      <c r="E161" s="53"/>
      <c r="F161" s="53"/>
      <c r="G161" s="68" t="s">
        <v>62</v>
      </c>
    </row>
    <row r="162">
      <c r="A162" s="53"/>
      <c r="B162" s="53"/>
      <c r="C162" s="53"/>
      <c r="D162" s="53"/>
      <c r="E162" s="53"/>
      <c r="F162" s="53"/>
      <c r="G162" s="68" t="s">
        <v>62</v>
      </c>
    </row>
    <row r="163">
      <c r="A163" s="53"/>
      <c r="B163" s="53"/>
      <c r="C163" s="53"/>
      <c r="D163" s="53"/>
      <c r="E163" s="53"/>
      <c r="F163" s="53"/>
      <c r="G163" s="68" t="s">
        <v>62</v>
      </c>
    </row>
    <row r="164">
      <c r="A164" s="53"/>
      <c r="B164" s="53"/>
      <c r="C164" s="53"/>
      <c r="D164" s="53"/>
      <c r="E164" s="53"/>
      <c r="F164" s="53"/>
      <c r="G164" s="68" t="s">
        <v>62</v>
      </c>
    </row>
    <row r="165">
      <c r="A165" s="53"/>
      <c r="B165" s="53"/>
      <c r="C165" s="53"/>
      <c r="D165" s="53"/>
      <c r="E165" s="53"/>
      <c r="F165" s="53"/>
      <c r="G165" s="68" t="s">
        <v>62</v>
      </c>
    </row>
    <row r="166">
      <c r="A166" s="53"/>
      <c r="B166" s="53"/>
      <c r="C166" s="53"/>
      <c r="D166" s="53"/>
      <c r="E166" s="53"/>
      <c r="F166" s="53"/>
      <c r="G166" s="68" t="s">
        <v>62</v>
      </c>
    </row>
    <row r="167">
      <c r="A167" s="53"/>
      <c r="B167" s="53"/>
      <c r="C167" s="53"/>
      <c r="D167" s="53"/>
      <c r="E167" s="53"/>
      <c r="F167" s="53"/>
      <c r="G167" s="68" t="s">
        <v>62</v>
      </c>
    </row>
    <row r="168">
      <c r="A168" s="53"/>
      <c r="B168" s="53"/>
      <c r="C168" s="53"/>
      <c r="D168" s="53"/>
      <c r="E168" s="53"/>
      <c r="F168" s="53"/>
      <c r="G168" s="68" t="s">
        <v>62</v>
      </c>
    </row>
    <row r="169">
      <c r="A169" s="53"/>
      <c r="B169" s="53"/>
      <c r="C169" s="53"/>
      <c r="D169" s="53"/>
      <c r="E169" s="53"/>
      <c r="F169" s="53"/>
      <c r="G169" s="68" t="s">
        <v>62</v>
      </c>
    </row>
    <row r="170">
      <c r="A170" s="53"/>
      <c r="B170" s="53"/>
      <c r="C170" s="53"/>
      <c r="D170" s="53"/>
      <c r="E170" s="53"/>
      <c r="F170" s="53"/>
      <c r="G170" s="68" t="s">
        <v>62</v>
      </c>
    </row>
    <row r="171">
      <c r="A171" s="53"/>
      <c r="B171" s="53"/>
      <c r="C171" s="53"/>
      <c r="D171" s="53"/>
      <c r="E171" s="53"/>
      <c r="F171" s="53"/>
      <c r="G171" s="68" t="s">
        <v>62</v>
      </c>
    </row>
    <row r="172">
      <c r="A172" s="53"/>
      <c r="B172" s="53"/>
      <c r="C172" s="53"/>
      <c r="D172" s="53"/>
      <c r="E172" s="53"/>
      <c r="F172" s="53"/>
      <c r="G172" s="68" t="s">
        <v>62</v>
      </c>
    </row>
    <row r="173">
      <c r="A173" s="53"/>
      <c r="B173" s="53"/>
      <c r="C173" s="53"/>
      <c r="D173" s="53"/>
      <c r="E173" s="53"/>
      <c r="F173" s="53"/>
      <c r="G173" s="68" t="s">
        <v>62</v>
      </c>
    </row>
    <row r="174">
      <c r="A174" s="53"/>
      <c r="B174" s="53"/>
      <c r="C174" s="53"/>
      <c r="D174" s="53"/>
      <c r="E174" s="53"/>
      <c r="F174" s="53"/>
      <c r="G174" s="68" t="s">
        <v>62</v>
      </c>
    </row>
    <row r="175">
      <c r="A175" s="53"/>
      <c r="B175" s="53"/>
      <c r="C175" s="53"/>
      <c r="D175" s="53"/>
      <c r="E175" s="53"/>
      <c r="F175" s="53"/>
      <c r="G175" s="68" t="s">
        <v>62</v>
      </c>
    </row>
    <row r="176">
      <c r="A176" s="53"/>
      <c r="B176" s="53"/>
      <c r="C176" s="53"/>
      <c r="D176" s="53"/>
      <c r="E176" s="53"/>
      <c r="F176" s="53"/>
      <c r="G176" s="68" t="s">
        <v>62</v>
      </c>
    </row>
    <row r="177">
      <c r="A177" s="53"/>
      <c r="B177" s="53"/>
      <c r="C177" s="53"/>
      <c r="D177" s="53"/>
      <c r="E177" s="53"/>
      <c r="F177" s="53"/>
      <c r="G177" s="68" t="s">
        <v>62</v>
      </c>
    </row>
    <row r="178">
      <c r="A178" s="53"/>
      <c r="B178" s="53"/>
      <c r="C178" s="53"/>
      <c r="D178" s="53"/>
      <c r="E178" s="53"/>
      <c r="F178" s="53"/>
      <c r="G178" s="68" t="s">
        <v>62</v>
      </c>
    </row>
    <row r="179">
      <c r="A179" s="53"/>
      <c r="B179" s="53"/>
      <c r="C179" s="53"/>
      <c r="D179" s="53"/>
      <c r="E179" s="53"/>
      <c r="F179" s="53"/>
      <c r="G179" s="68" t="s">
        <v>62</v>
      </c>
    </row>
    <row r="180">
      <c r="A180" s="53"/>
      <c r="B180" s="53"/>
      <c r="C180" s="53"/>
      <c r="D180" s="53"/>
      <c r="E180" s="53"/>
      <c r="F180" s="53"/>
      <c r="G180" s="68" t="s">
        <v>62</v>
      </c>
    </row>
    <row r="181">
      <c r="A181" s="53"/>
      <c r="B181" s="53"/>
      <c r="C181" s="53"/>
      <c r="D181" s="53"/>
      <c r="E181" s="53"/>
      <c r="F181" s="53"/>
      <c r="G181" s="68" t="s">
        <v>62</v>
      </c>
    </row>
    <row r="182">
      <c r="A182" s="53"/>
      <c r="B182" s="53"/>
      <c r="C182" s="53"/>
      <c r="D182" s="53"/>
      <c r="E182" s="53"/>
      <c r="F182" s="53"/>
      <c r="G182" s="68" t="s">
        <v>62</v>
      </c>
    </row>
    <row r="183">
      <c r="A183" s="53"/>
      <c r="B183" s="53"/>
      <c r="C183" s="53"/>
      <c r="D183" s="53"/>
      <c r="E183" s="53"/>
      <c r="F183" s="53"/>
      <c r="G183" s="68" t="s">
        <v>62</v>
      </c>
    </row>
    <row r="184">
      <c r="A184" s="53"/>
      <c r="B184" s="53"/>
      <c r="C184" s="53"/>
      <c r="D184" s="53"/>
      <c r="E184" s="53"/>
      <c r="F184" s="53"/>
      <c r="G184" s="68" t="s">
        <v>62</v>
      </c>
    </row>
    <row r="185">
      <c r="A185" s="53"/>
      <c r="B185" s="53"/>
      <c r="C185" s="53"/>
      <c r="D185" s="53"/>
      <c r="E185" s="53"/>
      <c r="F185" s="53"/>
      <c r="G185" s="68" t="s">
        <v>62</v>
      </c>
    </row>
    <row r="186">
      <c r="A186" s="53"/>
      <c r="B186" s="53"/>
      <c r="C186" s="53"/>
      <c r="D186" s="53"/>
      <c r="E186" s="53"/>
      <c r="F186" s="53"/>
      <c r="G186" s="68" t="s">
        <v>62</v>
      </c>
    </row>
    <row r="187">
      <c r="A187" s="53"/>
      <c r="B187" s="53"/>
      <c r="C187" s="53"/>
      <c r="D187" s="53"/>
      <c r="E187" s="53"/>
      <c r="F187" s="53"/>
      <c r="G187" s="68" t="s">
        <v>62</v>
      </c>
    </row>
    <row r="188">
      <c r="A188" s="53"/>
      <c r="B188" s="53"/>
      <c r="C188" s="53"/>
      <c r="D188" s="53"/>
      <c r="E188" s="53"/>
      <c r="F188" s="53"/>
      <c r="G188" s="68" t="s">
        <v>62</v>
      </c>
    </row>
    <row r="189">
      <c r="A189" s="53"/>
      <c r="B189" s="53"/>
      <c r="C189" s="53"/>
      <c r="D189" s="53"/>
      <c r="E189" s="53"/>
      <c r="F189" s="53"/>
      <c r="G189" s="68" t="s">
        <v>62</v>
      </c>
    </row>
    <row r="190">
      <c r="A190" s="53"/>
      <c r="B190" s="53"/>
      <c r="C190" s="53"/>
      <c r="D190" s="53"/>
      <c r="E190" s="53"/>
      <c r="F190" s="53"/>
      <c r="G190" s="68" t="s">
        <v>62</v>
      </c>
    </row>
    <row r="191">
      <c r="A191" s="53"/>
      <c r="B191" s="53"/>
      <c r="C191" s="53"/>
      <c r="D191" s="53"/>
      <c r="E191" s="53"/>
      <c r="F191" s="53"/>
      <c r="G191" s="68" t="s">
        <v>62</v>
      </c>
    </row>
    <row r="192">
      <c r="A192" s="53"/>
      <c r="B192" s="53"/>
      <c r="C192" s="53"/>
      <c r="D192" s="53"/>
      <c r="E192" s="53"/>
      <c r="F192" s="53"/>
      <c r="G192" s="68" t="s">
        <v>62</v>
      </c>
    </row>
    <row r="193">
      <c r="A193" s="53"/>
      <c r="B193" s="53"/>
      <c r="C193" s="53"/>
      <c r="D193" s="53"/>
      <c r="E193" s="53"/>
      <c r="F193" s="53"/>
      <c r="G193" s="68" t="s">
        <v>62</v>
      </c>
    </row>
    <row r="194">
      <c r="A194" s="53"/>
      <c r="B194" s="53"/>
      <c r="C194" s="53"/>
      <c r="D194" s="53"/>
      <c r="E194" s="53"/>
      <c r="F194" s="53"/>
      <c r="G194" s="68" t="s">
        <v>62</v>
      </c>
    </row>
    <row r="195">
      <c r="A195" s="53"/>
      <c r="B195" s="53"/>
      <c r="C195" s="53"/>
      <c r="D195" s="53"/>
      <c r="E195" s="53"/>
      <c r="F195" s="53"/>
      <c r="G195" s="68" t="s">
        <v>62</v>
      </c>
    </row>
    <row r="196">
      <c r="A196" s="53"/>
      <c r="B196" s="53"/>
      <c r="C196" s="53"/>
      <c r="D196" s="53"/>
      <c r="E196" s="53"/>
      <c r="F196" s="53"/>
      <c r="G196" s="68" t="s">
        <v>62</v>
      </c>
    </row>
    <row r="197">
      <c r="A197" s="53"/>
      <c r="B197" s="53"/>
      <c r="C197" s="53"/>
      <c r="D197" s="53"/>
      <c r="E197" s="53"/>
      <c r="F197" s="53"/>
      <c r="G197" s="68" t="s">
        <v>62</v>
      </c>
    </row>
    <row r="198">
      <c r="A198" s="53"/>
      <c r="B198" s="53"/>
      <c r="C198" s="53"/>
      <c r="D198" s="53"/>
      <c r="E198" s="53"/>
      <c r="F198" s="53"/>
      <c r="G198" s="68" t="s">
        <v>62</v>
      </c>
    </row>
    <row r="199">
      <c r="A199" s="53"/>
      <c r="B199" s="53"/>
      <c r="C199" s="53"/>
      <c r="D199" s="53"/>
      <c r="E199" s="53"/>
      <c r="F199" s="53"/>
      <c r="G199" s="68" t="s">
        <v>62</v>
      </c>
    </row>
    <row r="200">
      <c r="A200" s="53"/>
      <c r="B200" s="53"/>
      <c r="C200" s="53"/>
      <c r="D200" s="53"/>
      <c r="E200" s="53"/>
      <c r="F200" s="53"/>
      <c r="G200" s="68" t="s">
        <v>62</v>
      </c>
    </row>
    <row r="201">
      <c r="A201" s="53"/>
      <c r="B201" s="53"/>
      <c r="C201" s="53"/>
      <c r="D201" s="53"/>
      <c r="E201" s="53"/>
      <c r="F201" s="53"/>
      <c r="G201" s="68" t="s">
        <v>62</v>
      </c>
    </row>
    <row r="202">
      <c r="A202" s="53"/>
      <c r="B202" s="53"/>
      <c r="C202" s="53"/>
      <c r="D202" s="53"/>
      <c r="E202" s="53"/>
      <c r="F202" s="53"/>
      <c r="G202" s="68" t="s">
        <v>62</v>
      </c>
    </row>
    <row r="203">
      <c r="A203" s="53"/>
      <c r="B203" s="53"/>
      <c r="C203" s="53"/>
      <c r="D203" s="53"/>
      <c r="E203" s="53"/>
      <c r="F203" s="53"/>
      <c r="G203" s="68" t="s">
        <v>62</v>
      </c>
    </row>
    <row r="204">
      <c r="A204" s="53"/>
      <c r="B204" s="53"/>
      <c r="C204" s="53"/>
      <c r="D204" s="53"/>
      <c r="E204" s="53"/>
      <c r="F204" s="53"/>
      <c r="G204" s="68" t="s">
        <v>62</v>
      </c>
    </row>
    <row r="205">
      <c r="A205" s="53"/>
      <c r="B205" s="53"/>
      <c r="C205" s="53"/>
      <c r="D205" s="53"/>
      <c r="E205" s="53"/>
      <c r="F205" s="53"/>
      <c r="G205" s="68" t="s">
        <v>62</v>
      </c>
    </row>
    <row r="206">
      <c r="A206" s="53"/>
      <c r="B206" s="53"/>
      <c r="C206" s="53"/>
      <c r="D206" s="53"/>
      <c r="E206" s="53"/>
      <c r="F206" s="53"/>
      <c r="G206" s="68" t="s">
        <v>62</v>
      </c>
    </row>
    <row r="207">
      <c r="A207" s="53"/>
      <c r="B207" s="53"/>
      <c r="C207" s="53"/>
      <c r="D207" s="53"/>
      <c r="E207" s="53"/>
      <c r="F207" s="53"/>
      <c r="G207" s="68" t="s">
        <v>62</v>
      </c>
    </row>
    <row r="208">
      <c r="A208" s="53"/>
      <c r="B208" s="53"/>
      <c r="C208" s="53"/>
      <c r="D208" s="53"/>
      <c r="E208" s="53"/>
      <c r="F208" s="53"/>
      <c r="G208" s="68" t="s">
        <v>62</v>
      </c>
    </row>
    <row r="209">
      <c r="A209" s="53"/>
      <c r="B209" s="53"/>
      <c r="C209" s="53"/>
      <c r="D209" s="53"/>
      <c r="E209" s="53"/>
      <c r="F209" s="53"/>
      <c r="G209" s="68" t="s">
        <v>62</v>
      </c>
    </row>
    <row r="210">
      <c r="A210" s="53"/>
      <c r="B210" s="53"/>
      <c r="C210" s="53"/>
      <c r="D210" s="53"/>
      <c r="E210" s="53"/>
      <c r="F210" s="53"/>
      <c r="G210" s="68" t="s">
        <v>62</v>
      </c>
    </row>
    <row r="211">
      <c r="A211" s="53"/>
      <c r="B211" s="53"/>
      <c r="C211" s="53"/>
      <c r="D211" s="53"/>
      <c r="E211" s="53"/>
      <c r="F211" s="53"/>
      <c r="G211" s="68" t="s">
        <v>62</v>
      </c>
    </row>
    <row r="212">
      <c r="A212" s="53"/>
      <c r="B212" s="53"/>
      <c r="C212" s="53"/>
      <c r="D212" s="53"/>
      <c r="E212" s="53"/>
      <c r="F212" s="53"/>
      <c r="G212" s="68" t="s">
        <v>62</v>
      </c>
    </row>
    <row r="213">
      <c r="A213" s="53"/>
      <c r="B213" s="53"/>
      <c r="C213" s="53"/>
      <c r="D213" s="53"/>
      <c r="E213" s="53"/>
      <c r="F213" s="53"/>
      <c r="G213" s="68" t="s">
        <v>62</v>
      </c>
    </row>
    <row r="214">
      <c r="A214" s="53"/>
      <c r="B214" s="53"/>
      <c r="C214" s="53"/>
      <c r="D214" s="53"/>
      <c r="E214" s="53"/>
      <c r="F214" s="53"/>
      <c r="G214" s="68" t="s">
        <v>62</v>
      </c>
    </row>
    <row r="215">
      <c r="A215" s="53"/>
      <c r="B215" s="53"/>
      <c r="C215" s="53"/>
      <c r="D215" s="53"/>
      <c r="E215" s="53"/>
      <c r="F215" s="53"/>
      <c r="G215" s="68" t="s">
        <v>62</v>
      </c>
    </row>
    <row r="216">
      <c r="A216" s="53"/>
      <c r="B216" s="53"/>
      <c r="C216" s="53"/>
      <c r="D216" s="53"/>
      <c r="E216" s="53"/>
      <c r="F216" s="53"/>
      <c r="G216" s="68" t="s">
        <v>62</v>
      </c>
    </row>
    <row r="217">
      <c r="A217" s="53"/>
      <c r="B217" s="53"/>
      <c r="C217" s="53"/>
      <c r="D217" s="53"/>
      <c r="E217" s="53"/>
      <c r="F217" s="53"/>
      <c r="G217" s="68" t="s">
        <v>62</v>
      </c>
    </row>
    <row r="218">
      <c r="A218" s="53"/>
      <c r="B218" s="53"/>
      <c r="C218" s="53"/>
      <c r="D218" s="53"/>
      <c r="E218" s="53"/>
      <c r="F218" s="53"/>
      <c r="G218" s="68" t="s">
        <v>62</v>
      </c>
    </row>
    <row r="219">
      <c r="A219" s="53"/>
      <c r="B219" s="53"/>
      <c r="C219" s="53"/>
      <c r="D219" s="53"/>
      <c r="E219" s="53"/>
      <c r="F219" s="53"/>
      <c r="G219" s="68" t="s">
        <v>62</v>
      </c>
    </row>
    <row r="220">
      <c r="A220" s="53"/>
      <c r="B220" s="53"/>
      <c r="C220" s="53"/>
      <c r="D220" s="53"/>
      <c r="E220" s="53"/>
      <c r="F220" s="53"/>
      <c r="G220" s="68" t="s">
        <v>62</v>
      </c>
    </row>
    <row r="221">
      <c r="A221" s="53"/>
      <c r="B221" s="53"/>
      <c r="C221" s="53"/>
      <c r="D221" s="53"/>
      <c r="E221" s="53"/>
      <c r="F221" s="53"/>
      <c r="G221" s="68" t="s">
        <v>62</v>
      </c>
    </row>
    <row r="222">
      <c r="A222" s="53"/>
      <c r="B222" s="53"/>
      <c r="C222" s="53"/>
      <c r="D222" s="53"/>
      <c r="E222" s="53"/>
      <c r="F222" s="53"/>
      <c r="G222" s="68" t="s">
        <v>62</v>
      </c>
    </row>
    <row r="223">
      <c r="A223" s="53"/>
      <c r="B223" s="53"/>
      <c r="C223" s="53"/>
      <c r="D223" s="53"/>
      <c r="E223" s="53"/>
      <c r="F223" s="53"/>
      <c r="G223" s="68" t="s">
        <v>62</v>
      </c>
    </row>
    <row r="224">
      <c r="A224" s="53"/>
      <c r="B224" s="53"/>
      <c r="C224" s="53"/>
      <c r="D224" s="53"/>
      <c r="E224" s="53"/>
      <c r="F224" s="53"/>
      <c r="G224" s="68" t="s">
        <v>62</v>
      </c>
    </row>
    <row r="225">
      <c r="A225" s="53"/>
      <c r="B225" s="53"/>
      <c r="C225" s="53"/>
      <c r="D225" s="53"/>
      <c r="E225" s="53"/>
      <c r="F225" s="53"/>
      <c r="G225" s="68" t="s">
        <v>62</v>
      </c>
    </row>
    <row r="226">
      <c r="A226" s="53"/>
      <c r="B226" s="53"/>
      <c r="C226" s="53"/>
      <c r="D226" s="53"/>
      <c r="E226" s="53"/>
      <c r="F226" s="53"/>
      <c r="G226" s="68" t="s">
        <v>62</v>
      </c>
    </row>
    <row r="227">
      <c r="A227" s="53"/>
      <c r="B227" s="53"/>
      <c r="C227" s="53"/>
      <c r="D227" s="53"/>
      <c r="E227" s="53"/>
      <c r="F227" s="53"/>
      <c r="G227" s="68" t="s">
        <v>62</v>
      </c>
    </row>
    <row r="228">
      <c r="A228" s="53"/>
      <c r="B228" s="53"/>
      <c r="C228" s="53"/>
      <c r="D228" s="53"/>
      <c r="E228" s="53"/>
      <c r="F228" s="53"/>
      <c r="G228" s="68" t="s">
        <v>62</v>
      </c>
    </row>
    <row r="229">
      <c r="A229" s="53"/>
      <c r="B229" s="53"/>
      <c r="C229" s="53"/>
      <c r="D229" s="53"/>
      <c r="E229" s="53"/>
      <c r="F229" s="53"/>
      <c r="G229" s="68" t="s">
        <v>62</v>
      </c>
    </row>
    <row r="230">
      <c r="A230" s="53"/>
      <c r="B230" s="53"/>
      <c r="C230" s="53"/>
      <c r="D230" s="53"/>
      <c r="E230" s="53"/>
      <c r="F230" s="53"/>
      <c r="G230" s="68" t="s">
        <v>62</v>
      </c>
    </row>
    <row r="231">
      <c r="A231" s="53"/>
      <c r="B231" s="53"/>
      <c r="C231" s="53"/>
      <c r="D231" s="53"/>
      <c r="E231" s="53"/>
      <c r="F231" s="53"/>
      <c r="G231" s="68" t="s">
        <v>62</v>
      </c>
    </row>
    <row r="232">
      <c r="A232" s="53"/>
      <c r="B232" s="53"/>
      <c r="C232" s="53"/>
      <c r="D232" s="53"/>
      <c r="E232" s="53"/>
      <c r="F232" s="53"/>
      <c r="G232" s="68" t="s">
        <v>62</v>
      </c>
    </row>
    <row r="233">
      <c r="A233" s="53"/>
      <c r="B233" s="53"/>
      <c r="C233" s="53"/>
      <c r="D233" s="53"/>
      <c r="E233" s="53"/>
      <c r="F233" s="53"/>
      <c r="G233" s="68" t="s">
        <v>62</v>
      </c>
    </row>
    <row r="234">
      <c r="A234" s="53"/>
      <c r="B234" s="53"/>
      <c r="C234" s="53"/>
      <c r="D234" s="53"/>
      <c r="E234" s="53"/>
      <c r="F234" s="53"/>
      <c r="G234" s="68" t="s">
        <v>62</v>
      </c>
    </row>
    <row r="235">
      <c r="A235" s="53"/>
      <c r="B235" s="53"/>
      <c r="C235" s="53"/>
      <c r="D235" s="53"/>
      <c r="E235" s="53"/>
      <c r="F235" s="53"/>
      <c r="G235" s="68" t="s">
        <v>62</v>
      </c>
    </row>
    <row r="236">
      <c r="A236" s="53"/>
      <c r="B236" s="53"/>
      <c r="C236" s="53"/>
      <c r="D236" s="53"/>
      <c r="E236" s="53"/>
      <c r="F236" s="53"/>
      <c r="G236" s="68" t="s">
        <v>62</v>
      </c>
    </row>
    <row r="237">
      <c r="A237" s="53"/>
      <c r="B237" s="53"/>
      <c r="C237" s="53"/>
      <c r="D237" s="53"/>
      <c r="E237" s="53"/>
      <c r="F237" s="53"/>
      <c r="G237" s="68" t="s">
        <v>62</v>
      </c>
    </row>
    <row r="238">
      <c r="A238" s="53"/>
      <c r="B238" s="53"/>
      <c r="C238" s="53"/>
      <c r="D238" s="53"/>
      <c r="E238" s="53"/>
      <c r="F238" s="53"/>
      <c r="G238" s="68" t="s">
        <v>62</v>
      </c>
    </row>
    <row r="239">
      <c r="A239" s="53"/>
      <c r="B239" s="53"/>
      <c r="C239" s="53"/>
      <c r="D239" s="53"/>
      <c r="E239" s="53"/>
      <c r="F239" s="53"/>
      <c r="G239" s="68" t="s">
        <v>62</v>
      </c>
    </row>
    <row r="240">
      <c r="A240" s="53"/>
      <c r="B240" s="53"/>
      <c r="C240" s="53"/>
      <c r="D240" s="53"/>
      <c r="E240" s="53"/>
      <c r="F240" s="53"/>
      <c r="G240" s="68" t="s">
        <v>62</v>
      </c>
    </row>
    <row r="241">
      <c r="A241" s="53"/>
      <c r="B241" s="53"/>
      <c r="C241" s="53"/>
      <c r="D241" s="53"/>
      <c r="E241" s="53"/>
      <c r="F241" s="53"/>
      <c r="G241" s="68" t="s">
        <v>62</v>
      </c>
    </row>
    <row r="242">
      <c r="A242" s="53"/>
      <c r="B242" s="53"/>
      <c r="C242" s="53"/>
      <c r="D242" s="53"/>
      <c r="E242" s="53"/>
      <c r="F242" s="53"/>
      <c r="G242" s="68" t="s">
        <v>62</v>
      </c>
    </row>
    <row r="243">
      <c r="A243" s="53"/>
      <c r="B243" s="53"/>
      <c r="C243" s="53"/>
      <c r="D243" s="53"/>
      <c r="E243" s="53"/>
      <c r="F243" s="53"/>
      <c r="G243" s="68" t="s">
        <v>62</v>
      </c>
    </row>
    <row r="244">
      <c r="A244" s="53"/>
      <c r="B244" s="53"/>
      <c r="C244" s="53"/>
      <c r="D244" s="53"/>
      <c r="E244" s="53"/>
      <c r="F244" s="53"/>
      <c r="G244" s="68" t="s">
        <v>62</v>
      </c>
    </row>
    <row r="245">
      <c r="A245" s="53"/>
      <c r="B245" s="53"/>
      <c r="C245" s="53"/>
      <c r="D245" s="53"/>
      <c r="E245" s="53"/>
      <c r="F245" s="53"/>
      <c r="G245" s="68" t="s">
        <v>62</v>
      </c>
    </row>
    <row r="246">
      <c r="A246" s="53"/>
      <c r="B246" s="53"/>
      <c r="C246" s="53"/>
      <c r="D246" s="53"/>
      <c r="E246" s="53"/>
      <c r="F246" s="53"/>
      <c r="G246" s="68" t="s">
        <v>62</v>
      </c>
    </row>
    <row r="247">
      <c r="A247" s="53"/>
      <c r="B247" s="53"/>
      <c r="C247" s="53"/>
      <c r="D247" s="53"/>
      <c r="E247" s="53"/>
      <c r="F247" s="53"/>
      <c r="G247" s="68" t="s">
        <v>62</v>
      </c>
    </row>
    <row r="248">
      <c r="A248" s="53"/>
      <c r="B248" s="53"/>
      <c r="C248" s="53"/>
      <c r="D248" s="53"/>
      <c r="E248" s="53"/>
      <c r="F248" s="53"/>
      <c r="G248" s="68" t="s">
        <v>62</v>
      </c>
    </row>
    <row r="249">
      <c r="A249" s="53"/>
      <c r="B249" s="53"/>
      <c r="C249" s="53"/>
      <c r="D249" s="53"/>
      <c r="E249" s="53"/>
      <c r="F249" s="53"/>
      <c r="G249" s="68" t="s">
        <v>62</v>
      </c>
    </row>
    <row r="250">
      <c r="A250" s="53"/>
      <c r="B250" s="53"/>
      <c r="C250" s="53"/>
      <c r="D250" s="53"/>
      <c r="E250" s="53"/>
      <c r="F250" s="53"/>
      <c r="G250" s="68" t="s">
        <v>62</v>
      </c>
    </row>
    <row r="251">
      <c r="A251" s="53"/>
      <c r="B251" s="53"/>
      <c r="C251" s="53"/>
      <c r="D251" s="53"/>
      <c r="E251" s="53"/>
      <c r="F251" s="53"/>
      <c r="G251" s="68" t="s">
        <v>62</v>
      </c>
    </row>
    <row r="252">
      <c r="A252" s="53"/>
      <c r="B252" s="53"/>
      <c r="C252" s="53"/>
      <c r="D252" s="53"/>
      <c r="E252" s="53"/>
      <c r="F252" s="53"/>
      <c r="G252" s="68" t="s">
        <v>62</v>
      </c>
    </row>
    <row r="253">
      <c r="A253" s="53"/>
      <c r="B253" s="53"/>
      <c r="C253" s="53"/>
      <c r="D253" s="53"/>
      <c r="E253" s="53"/>
      <c r="F253" s="53"/>
      <c r="G253" s="68" t="s">
        <v>62</v>
      </c>
    </row>
    <row r="254">
      <c r="A254" s="53"/>
      <c r="B254" s="53"/>
      <c r="C254" s="53"/>
      <c r="D254" s="53"/>
      <c r="E254" s="53"/>
      <c r="F254" s="53"/>
      <c r="G254" s="68" t="s">
        <v>62</v>
      </c>
    </row>
    <row r="255">
      <c r="A255" s="53"/>
      <c r="B255" s="53"/>
      <c r="C255" s="53"/>
      <c r="D255" s="53"/>
      <c r="E255" s="53"/>
      <c r="F255" s="53"/>
      <c r="G255" s="68" t="s">
        <v>62</v>
      </c>
    </row>
    <row r="256">
      <c r="A256" s="53"/>
      <c r="B256" s="53"/>
      <c r="C256" s="53"/>
      <c r="D256" s="53"/>
      <c r="E256" s="53"/>
      <c r="F256" s="53"/>
      <c r="G256" s="68" t="s">
        <v>62</v>
      </c>
    </row>
    <row r="257">
      <c r="A257" s="53"/>
      <c r="B257" s="53"/>
      <c r="C257" s="53"/>
      <c r="D257" s="53"/>
      <c r="E257" s="53"/>
      <c r="F257" s="53"/>
      <c r="G257" s="68" t="s">
        <v>62</v>
      </c>
    </row>
    <row r="258">
      <c r="A258" s="53"/>
      <c r="B258" s="53"/>
      <c r="C258" s="53"/>
      <c r="D258" s="53"/>
      <c r="E258" s="53"/>
      <c r="F258" s="53"/>
      <c r="G258" s="68" t="s">
        <v>62</v>
      </c>
    </row>
    <row r="259">
      <c r="A259" s="53"/>
      <c r="B259" s="53"/>
      <c r="C259" s="53"/>
      <c r="D259" s="53"/>
      <c r="E259" s="53"/>
      <c r="F259" s="53"/>
      <c r="G259" s="68" t="s">
        <v>62</v>
      </c>
    </row>
    <row r="260">
      <c r="A260" s="53"/>
      <c r="B260" s="53"/>
      <c r="C260" s="53"/>
      <c r="D260" s="53"/>
      <c r="E260" s="53"/>
      <c r="F260" s="53"/>
      <c r="G260" s="68" t="s">
        <v>62</v>
      </c>
    </row>
    <row r="261">
      <c r="A261" s="53"/>
      <c r="B261" s="53"/>
      <c r="C261" s="53"/>
      <c r="D261" s="53"/>
      <c r="E261" s="53"/>
      <c r="F261" s="53"/>
      <c r="G261" s="68" t="s">
        <v>62</v>
      </c>
    </row>
    <row r="262">
      <c r="A262" s="53"/>
      <c r="B262" s="53"/>
      <c r="C262" s="53"/>
      <c r="D262" s="53"/>
      <c r="E262" s="53"/>
      <c r="F262" s="53"/>
      <c r="G262" s="68" t="s">
        <v>62</v>
      </c>
    </row>
    <row r="263">
      <c r="A263" s="53"/>
      <c r="B263" s="53"/>
      <c r="C263" s="53"/>
      <c r="D263" s="53"/>
      <c r="E263" s="53"/>
      <c r="F263" s="53"/>
      <c r="G263" s="68" t="s">
        <v>62</v>
      </c>
    </row>
    <row r="264">
      <c r="A264" s="53"/>
      <c r="B264" s="53"/>
      <c r="C264" s="53"/>
      <c r="D264" s="53"/>
      <c r="E264" s="53"/>
      <c r="F264" s="53"/>
      <c r="G264" s="68" t="s">
        <v>62</v>
      </c>
    </row>
    <row r="265">
      <c r="A265" s="53"/>
      <c r="B265" s="53"/>
      <c r="C265" s="53"/>
      <c r="D265" s="53"/>
      <c r="E265" s="53"/>
      <c r="F265" s="53"/>
      <c r="G265" s="68" t="s">
        <v>62</v>
      </c>
    </row>
    <row r="266">
      <c r="A266" s="53"/>
      <c r="B266" s="53"/>
      <c r="C266" s="53"/>
      <c r="D266" s="53"/>
      <c r="E266" s="53"/>
      <c r="F266" s="53"/>
      <c r="G266" s="68" t="s">
        <v>62</v>
      </c>
    </row>
    <row r="267">
      <c r="A267" s="53"/>
      <c r="B267" s="53"/>
      <c r="C267" s="53"/>
      <c r="D267" s="53"/>
      <c r="E267" s="53"/>
      <c r="F267" s="53"/>
      <c r="G267" s="68" t="s">
        <v>62</v>
      </c>
    </row>
    <row r="268">
      <c r="A268" s="53"/>
      <c r="B268" s="53"/>
      <c r="C268" s="53"/>
      <c r="D268" s="53"/>
      <c r="E268" s="53"/>
      <c r="F268" s="53"/>
      <c r="G268" s="68" t="s">
        <v>62</v>
      </c>
    </row>
    <row r="269">
      <c r="A269" s="53"/>
      <c r="B269" s="53"/>
      <c r="C269" s="53"/>
      <c r="D269" s="53"/>
      <c r="E269" s="53"/>
      <c r="F269" s="53"/>
      <c r="G269" s="68" t="s">
        <v>62</v>
      </c>
    </row>
    <row r="270">
      <c r="A270" s="53"/>
      <c r="B270" s="53"/>
      <c r="C270" s="53"/>
      <c r="D270" s="53"/>
      <c r="E270" s="53"/>
      <c r="F270" s="53"/>
      <c r="G270" s="68" t="s">
        <v>62</v>
      </c>
    </row>
    <row r="271">
      <c r="A271" s="53"/>
      <c r="B271" s="53"/>
      <c r="C271" s="53"/>
      <c r="D271" s="53"/>
      <c r="E271" s="53"/>
      <c r="F271" s="53"/>
      <c r="G271" s="68" t="s">
        <v>62</v>
      </c>
    </row>
    <row r="272">
      <c r="A272" s="53"/>
      <c r="B272" s="53"/>
      <c r="C272" s="53"/>
      <c r="D272" s="53"/>
      <c r="E272" s="53"/>
      <c r="F272" s="53"/>
      <c r="G272" s="68" t="s">
        <v>62</v>
      </c>
    </row>
    <row r="273">
      <c r="A273" s="53"/>
      <c r="B273" s="53"/>
      <c r="C273" s="53"/>
      <c r="D273" s="53"/>
      <c r="E273" s="53"/>
      <c r="F273" s="53"/>
      <c r="G273" s="68" t="s">
        <v>62</v>
      </c>
    </row>
    <row r="274">
      <c r="A274" s="53"/>
      <c r="B274" s="53"/>
      <c r="C274" s="53"/>
      <c r="D274" s="53"/>
      <c r="E274" s="53"/>
      <c r="F274" s="53"/>
      <c r="G274" s="68" t="s">
        <v>62</v>
      </c>
    </row>
    <row r="275">
      <c r="A275" s="53"/>
      <c r="B275" s="53"/>
      <c r="C275" s="53"/>
      <c r="D275" s="53"/>
      <c r="E275" s="53"/>
      <c r="F275" s="53"/>
      <c r="G275" s="68" t="s">
        <v>62</v>
      </c>
    </row>
    <row r="276">
      <c r="A276" s="53"/>
      <c r="B276" s="53"/>
      <c r="C276" s="53"/>
      <c r="D276" s="53"/>
      <c r="E276" s="53"/>
      <c r="F276" s="53"/>
      <c r="G276" s="68" t="s">
        <v>62</v>
      </c>
    </row>
    <row r="277">
      <c r="A277" s="53"/>
      <c r="B277" s="53"/>
      <c r="C277" s="53"/>
      <c r="D277" s="53"/>
      <c r="E277" s="53"/>
      <c r="F277" s="53"/>
      <c r="G277" s="68" t="s">
        <v>62</v>
      </c>
    </row>
    <row r="278">
      <c r="A278" s="53"/>
      <c r="B278" s="53"/>
      <c r="C278" s="53"/>
      <c r="D278" s="53"/>
      <c r="E278" s="53"/>
      <c r="F278" s="53"/>
      <c r="G278" s="68" t="s">
        <v>62</v>
      </c>
    </row>
    <row r="279">
      <c r="A279" s="53"/>
      <c r="B279" s="53"/>
      <c r="C279" s="53"/>
      <c r="D279" s="53"/>
      <c r="E279" s="53"/>
      <c r="F279" s="53"/>
      <c r="G279" s="68" t="s">
        <v>62</v>
      </c>
    </row>
    <row r="280">
      <c r="A280" s="53"/>
      <c r="B280" s="53"/>
      <c r="C280" s="53"/>
      <c r="D280" s="53"/>
      <c r="E280" s="53"/>
      <c r="F280" s="53"/>
      <c r="G280" s="68" t="s">
        <v>62</v>
      </c>
    </row>
    <row r="281">
      <c r="A281" s="53"/>
      <c r="B281" s="53"/>
      <c r="C281" s="53"/>
      <c r="D281" s="53"/>
      <c r="E281" s="53"/>
      <c r="F281" s="53"/>
      <c r="G281" s="68" t="s">
        <v>62</v>
      </c>
    </row>
    <row r="282">
      <c r="A282" s="53"/>
      <c r="B282" s="53"/>
      <c r="C282" s="53"/>
      <c r="D282" s="53"/>
      <c r="E282" s="53"/>
      <c r="F282" s="53"/>
      <c r="G282" s="68" t="s">
        <v>62</v>
      </c>
    </row>
    <row r="283">
      <c r="A283" s="53"/>
      <c r="B283" s="53"/>
      <c r="C283" s="53"/>
      <c r="D283" s="53"/>
      <c r="E283" s="53"/>
      <c r="F283" s="53"/>
      <c r="G283" s="68" t="s">
        <v>62</v>
      </c>
    </row>
    <row r="284">
      <c r="A284" s="53"/>
      <c r="B284" s="53"/>
      <c r="C284" s="53"/>
      <c r="D284" s="53"/>
      <c r="E284" s="53"/>
      <c r="F284" s="53"/>
      <c r="G284" s="68" t="s">
        <v>62</v>
      </c>
    </row>
    <row r="285">
      <c r="A285" s="53"/>
      <c r="B285" s="53"/>
      <c r="C285" s="53"/>
      <c r="D285" s="53"/>
      <c r="E285" s="53"/>
      <c r="F285" s="53"/>
      <c r="G285" s="68" t="s">
        <v>62</v>
      </c>
    </row>
    <row r="286">
      <c r="A286" s="53"/>
      <c r="B286" s="53"/>
      <c r="C286" s="53"/>
      <c r="D286" s="53"/>
      <c r="E286" s="53"/>
      <c r="F286" s="53"/>
      <c r="G286" s="68" t="s">
        <v>62</v>
      </c>
    </row>
    <row r="287">
      <c r="A287" s="53"/>
      <c r="B287" s="53"/>
      <c r="C287" s="53"/>
      <c r="D287" s="53"/>
      <c r="E287" s="53"/>
      <c r="F287" s="53"/>
      <c r="G287" s="68" t="s">
        <v>62</v>
      </c>
    </row>
    <row r="288">
      <c r="A288" s="53"/>
      <c r="B288" s="53"/>
      <c r="C288" s="53"/>
      <c r="D288" s="53"/>
      <c r="E288" s="53"/>
      <c r="F288" s="53"/>
      <c r="G288" s="68" t="s">
        <v>62</v>
      </c>
    </row>
    <row r="289">
      <c r="A289" s="53"/>
      <c r="B289" s="53"/>
      <c r="C289" s="53"/>
      <c r="D289" s="53"/>
      <c r="E289" s="53"/>
      <c r="F289" s="53"/>
      <c r="G289" s="68" t="s">
        <v>62</v>
      </c>
    </row>
    <row r="290">
      <c r="A290" s="53"/>
      <c r="B290" s="53"/>
      <c r="C290" s="53"/>
      <c r="D290" s="53"/>
      <c r="E290" s="53"/>
      <c r="F290" s="53"/>
      <c r="G290" s="68" t="s">
        <v>62</v>
      </c>
    </row>
    <row r="291">
      <c r="A291" s="53"/>
      <c r="B291" s="53"/>
      <c r="C291" s="53"/>
      <c r="D291" s="53"/>
      <c r="E291" s="53"/>
      <c r="F291" s="53"/>
      <c r="G291" s="68" t="s">
        <v>62</v>
      </c>
    </row>
    <row r="292">
      <c r="A292" s="53"/>
      <c r="B292" s="53"/>
      <c r="C292" s="53"/>
      <c r="D292" s="53"/>
      <c r="E292" s="53"/>
      <c r="F292" s="53"/>
      <c r="G292" s="68" t="s">
        <v>62</v>
      </c>
    </row>
    <row r="293">
      <c r="A293" s="53"/>
      <c r="B293" s="53"/>
      <c r="C293" s="53"/>
      <c r="D293" s="53"/>
      <c r="E293" s="53"/>
      <c r="F293" s="53"/>
      <c r="G293" s="68" t="s">
        <v>62</v>
      </c>
    </row>
    <row r="294">
      <c r="A294" s="53"/>
      <c r="B294" s="53"/>
      <c r="C294" s="53"/>
      <c r="D294" s="53"/>
      <c r="E294" s="53"/>
      <c r="F294" s="53"/>
      <c r="G294" s="68" t="s">
        <v>62</v>
      </c>
    </row>
    <row r="295">
      <c r="A295" s="53"/>
      <c r="B295" s="53"/>
      <c r="C295" s="53"/>
      <c r="D295" s="53"/>
      <c r="E295" s="53"/>
      <c r="F295" s="53"/>
      <c r="G295" s="68" t="s">
        <v>62</v>
      </c>
    </row>
    <row r="296">
      <c r="A296" s="53"/>
      <c r="B296" s="53"/>
      <c r="C296" s="53"/>
      <c r="D296" s="53"/>
      <c r="E296" s="53"/>
      <c r="F296" s="53"/>
      <c r="G296" s="68" t="s">
        <v>62</v>
      </c>
    </row>
    <row r="297">
      <c r="A297" s="53"/>
      <c r="B297" s="53"/>
      <c r="C297" s="53"/>
      <c r="D297" s="53"/>
      <c r="E297" s="53"/>
      <c r="F297" s="53"/>
      <c r="G297" s="68" t="s">
        <v>62</v>
      </c>
    </row>
    <row r="298">
      <c r="A298" s="53"/>
      <c r="B298" s="53"/>
      <c r="C298" s="53"/>
      <c r="D298" s="53"/>
      <c r="E298" s="53"/>
      <c r="F298" s="53"/>
      <c r="G298" s="68" t="s">
        <v>62</v>
      </c>
    </row>
    <row r="299">
      <c r="A299" s="53"/>
      <c r="B299" s="53"/>
      <c r="C299" s="53"/>
      <c r="D299" s="53"/>
      <c r="E299" s="53"/>
      <c r="F299" s="53"/>
      <c r="G299" s="68" t="s">
        <v>62</v>
      </c>
    </row>
    <row r="300">
      <c r="A300" s="53"/>
      <c r="B300" s="53"/>
      <c r="C300" s="53"/>
      <c r="D300" s="53"/>
      <c r="E300" s="53"/>
      <c r="F300" s="53"/>
      <c r="G300" s="68" t="s">
        <v>62</v>
      </c>
    </row>
    <row r="301">
      <c r="A301" s="53"/>
      <c r="B301" s="53"/>
      <c r="C301" s="53"/>
      <c r="D301" s="53"/>
      <c r="E301" s="53"/>
      <c r="F301" s="53"/>
      <c r="G301" s="68" t="s">
        <v>62</v>
      </c>
    </row>
    <row r="302">
      <c r="A302" s="53"/>
      <c r="B302" s="53"/>
      <c r="C302" s="53"/>
      <c r="D302" s="53"/>
      <c r="E302" s="53"/>
      <c r="F302" s="53"/>
      <c r="G302" s="68" t="s">
        <v>62</v>
      </c>
    </row>
    <row r="303">
      <c r="A303" s="53"/>
      <c r="B303" s="53"/>
      <c r="C303" s="53"/>
      <c r="D303" s="53"/>
      <c r="E303" s="53"/>
      <c r="F303" s="53"/>
      <c r="G303" s="68" t="s">
        <v>62</v>
      </c>
    </row>
    <row r="304">
      <c r="A304" s="53"/>
      <c r="B304" s="53"/>
      <c r="C304" s="53"/>
      <c r="D304" s="53"/>
      <c r="E304" s="53"/>
      <c r="F304" s="53"/>
      <c r="G304" s="68" t="s">
        <v>62</v>
      </c>
    </row>
    <row r="305">
      <c r="A305" s="53"/>
      <c r="B305" s="53"/>
      <c r="C305" s="53"/>
      <c r="D305" s="53"/>
      <c r="E305" s="53"/>
      <c r="F305" s="53"/>
      <c r="G305" s="68" t="s">
        <v>62</v>
      </c>
    </row>
    <row r="306">
      <c r="A306" s="53"/>
      <c r="B306" s="53"/>
      <c r="C306" s="53"/>
      <c r="D306" s="53"/>
      <c r="E306" s="53"/>
      <c r="F306" s="53"/>
      <c r="G306" s="68" t="s">
        <v>62</v>
      </c>
    </row>
    <row r="307">
      <c r="A307" s="53"/>
      <c r="B307" s="53"/>
      <c r="C307" s="53"/>
      <c r="D307" s="53"/>
      <c r="E307" s="53"/>
      <c r="F307" s="53"/>
      <c r="G307" s="68" t="s">
        <v>62</v>
      </c>
    </row>
    <row r="308">
      <c r="A308" s="53"/>
      <c r="B308" s="53"/>
      <c r="C308" s="53"/>
      <c r="D308" s="53"/>
      <c r="E308" s="53"/>
      <c r="F308" s="53"/>
      <c r="G308" s="68" t="s">
        <v>62</v>
      </c>
    </row>
    <row r="309">
      <c r="A309" s="53"/>
      <c r="B309" s="53"/>
      <c r="C309" s="53"/>
      <c r="D309" s="53"/>
      <c r="E309" s="53"/>
      <c r="F309" s="53"/>
      <c r="G309" s="68" t="s">
        <v>62</v>
      </c>
    </row>
    <row r="310">
      <c r="A310" s="53"/>
      <c r="B310" s="53"/>
      <c r="C310" s="53"/>
      <c r="D310" s="53"/>
      <c r="E310" s="53"/>
      <c r="F310" s="53"/>
      <c r="G310" s="68" t="s">
        <v>62</v>
      </c>
    </row>
    <row r="311">
      <c r="A311" s="53"/>
      <c r="B311" s="53"/>
      <c r="C311" s="53"/>
      <c r="D311" s="53"/>
      <c r="E311" s="53"/>
      <c r="F311" s="53"/>
      <c r="G311" s="68" t="s">
        <v>62</v>
      </c>
    </row>
    <row r="312">
      <c r="A312" s="53"/>
      <c r="B312" s="53"/>
      <c r="C312" s="53"/>
      <c r="D312" s="53"/>
      <c r="E312" s="53"/>
      <c r="F312" s="53"/>
      <c r="G312" s="68" t="s">
        <v>62</v>
      </c>
    </row>
    <row r="313">
      <c r="A313" s="53"/>
      <c r="B313" s="53"/>
      <c r="C313" s="53"/>
      <c r="D313" s="53"/>
      <c r="E313" s="53"/>
      <c r="F313" s="53"/>
      <c r="G313" s="68" t="s">
        <v>62</v>
      </c>
    </row>
    <row r="314">
      <c r="A314" s="53"/>
      <c r="B314" s="53"/>
      <c r="C314" s="53"/>
      <c r="D314" s="53"/>
      <c r="E314" s="53"/>
      <c r="F314" s="53"/>
      <c r="G314" s="68" t="s">
        <v>62</v>
      </c>
    </row>
    <row r="315">
      <c r="A315" s="53"/>
      <c r="B315" s="53"/>
      <c r="C315" s="53"/>
      <c r="D315" s="53"/>
      <c r="E315" s="53"/>
      <c r="F315" s="53"/>
      <c r="G315" s="68" t="s">
        <v>62</v>
      </c>
    </row>
    <row r="316">
      <c r="A316" s="53"/>
      <c r="B316" s="53"/>
      <c r="C316" s="53"/>
      <c r="D316" s="53"/>
      <c r="E316" s="53"/>
      <c r="F316" s="53"/>
      <c r="G316" s="68" t="s">
        <v>62</v>
      </c>
    </row>
    <row r="317">
      <c r="A317" s="53"/>
      <c r="B317" s="53"/>
      <c r="C317" s="53"/>
      <c r="D317" s="53"/>
      <c r="E317" s="53"/>
      <c r="F317" s="53"/>
      <c r="G317" s="68" t="s">
        <v>62</v>
      </c>
    </row>
    <row r="318">
      <c r="A318" s="53"/>
      <c r="B318" s="53"/>
      <c r="C318" s="53"/>
      <c r="D318" s="53"/>
      <c r="E318" s="53"/>
      <c r="F318" s="53"/>
      <c r="G318" s="68" t="s">
        <v>62</v>
      </c>
    </row>
    <row r="319">
      <c r="A319" s="53"/>
      <c r="B319" s="53"/>
      <c r="C319" s="53"/>
      <c r="D319" s="53"/>
      <c r="E319" s="53"/>
      <c r="F319" s="53"/>
      <c r="G319" s="68" t="s">
        <v>62</v>
      </c>
    </row>
    <row r="320">
      <c r="A320" s="53"/>
      <c r="B320" s="53"/>
      <c r="C320" s="53"/>
      <c r="D320" s="53"/>
      <c r="E320" s="53"/>
      <c r="F320" s="53"/>
      <c r="G320" s="68" t="s">
        <v>62</v>
      </c>
    </row>
    <row r="321">
      <c r="A321" s="53"/>
      <c r="B321" s="53"/>
      <c r="C321" s="53"/>
      <c r="D321" s="53"/>
      <c r="E321" s="53"/>
      <c r="F321" s="53"/>
      <c r="G321" s="68" t="s">
        <v>62</v>
      </c>
    </row>
    <row r="322">
      <c r="A322" s="53"/>
      <c r="B322" s="53"/>
      <c r="C322" s="53"/>
      <c r="D322" s="53"/>
      <c r="E322" s="53"/>
      <c r="F322" s="53"/>
      <c r="G322" s="68" t="s">
        <v>62</v>
      </c>
    </row>
    <row r="323">
      <c r="A323" s="53"/>
      <c r="B323" s="53"/>
      <c r="C323" s="53"/>
      <c r="D323" s="53"/>
      <c r="E323" s="53"/>
      <c r="F323" s="53"/>
      <c r="G323" s="68" t="s">
        <v>62</v>
      </c>
    </row>
    <row r="324">
      <c r="A324" s="53"/>
      <c r="B324" s="53"/>
      <c r="C324" s="53"/>
      <c r="D324" s="53"/>
      <c r="E324" s="53"/>
      <c r="F324" s="53"/>
      <c r="G324" s="68" t="s">
        <v>62</v>
      </c>
    </row>
    <row r="325">
      <c r="A325" s="53"/>
      <c r="B325" s="53"/>
      <c r="C325" s="53"/>
      <c r="D325" s="53"/>
      <c r="E325" s="53"/>
      <c r="F325" s="53"/>
      <c r="G325" s="68" t="s">
        <v>62</v>
      </c>
    </row>
    <row r="326">
      <c r="A326" s="53"/>
      <c r="B326" s="53"/>
      <c r="C326" s="53"/>
      <c r="D326" s="53"/>
      <c r="E326" s="53"/>
      <c r="F326" s="53"/>
      <c r="G326" s="68" t="s">
        <v>62</v>
      </c>
    </row>
    <row r="327">
      <c r="A327" s="53"/>
      <c r="B327" s="53"/>
      <c r="C327" s="53"/>
      <c r="D327" s="53"/>
      <c r="E327" s="53"/>
      <c r="F327" s="53"/>
      <c r="G327" s="68" t="s">
        <v>62</v>
      </c>
    </row>
    <row r="328">
      <c r="A328" s="53"/>
      <c r="B328" s="53"/>
      <c r="C328" s="53"/>
      <c r="D328" s="53"/>
      <c r="E328" s="53"/>
      <c r="F328" s="53"/>
      <c r="G328" s="68" t="s">
        <v>62</v>
      </c>
    </row>
    <row r="329">
      <c r="A329" s="53"/>
      <c r="B329" s="53"/>
      <c r="C329" s="53"/>
      <c r="D329" s="53"/>
      <c r="E329" s="53"/>
      <c r="F329" s="53"/>
      <c r="G329" s="68" t="s">
        <v>62</v>
      </c>
    </row>
    <row r="330">
      <c r="A330" s="53"/>
      <c r="B330" s="53"/>
      <c r="C330" s="53"/>
      <c r="D330" s="53"/>
      <c r="E330" s="53"/>
      <c r="F330" s="53"/>
      <c r="G330" s="68" t="s">
        <v>62</v>
      </c>
    </row>
    <row r="331">
      <c r="A331" s="53"/>
      <c r="B331" s="53"/>
      <c r="C331" s="53"/>
      <c r="D331" s="53"/>
      <c r="E331" s="53"/>
      <c r="F331" s="53"/>
      <c r="G331" s="68" t="s">
        <v>62</v>
      </c>
    </row>
    <row r="332">
      <c r="A332" s="53"/>
      <c r="B332" s="53"/>
      <c r="C332" s="53"/>
      <c r="D332" s="53"/>
      <c r="E332" s="53"/>
      <c r="F332" s="53"/>
      <c r="G332" s="68" t="s">
        <v>62</v>
      </c>
    </row>
    <row r="333">
      <c r="A333" s="53"/>
      <c r="B333" s="53"/>
      <c r="C333" s="53"/>
      <c r="D333" s="53"/>
      <c r="E333" s="53"/>
      <c r="F333" s="53"/>
      <c r="G333" s="68" t="s">
        <v>62</v>
      </c>
    </row>
    <row r="334">
      <c r="A334" s="53"/>
      <c r="B334" s="53"/>
      <c r="C334" s="53"/>
      <c r="D334" s="53"/>
      <c r="E334" s="53"/>
      <c r="F334" s="53"/>
      <c r="G334" s="68" t="s">
        <v>62</v>
      </c>
    </row>
    <row r="335">
      <c r="A335" s="53"/>
      <c r="B335" s="53"/>
      <c r="C335" s="53"/>
      <c r="D335" s="53"/>
      <c r="E335" s="53"/>
      <c r="F335" s="53"/>
      <c r="G335" s="68" t="s">
        <v>62</v>
      </c>
    </row>
    <row r="336">
      <c r="A336" s="53"/>
      <c r="B336" s="53"/>
      <c r="C336" s="53"/>
      <c r="D336" s="53"/>
      <c r="E336" s="53"/>
      <c r="F336" s="53"/>
      <c r="G336" s="68" t="s">
        <v>62</v>
      </c>
    </row>
    <row r="337">
      <c r="A337" s="53"/>
      <c r="B337" s="53"/>
      <c r="C337" s="53"/>
      <c r="D337" s="53"/>
      <c r="E337" s="53"/>
      <c r="F337" s="53"/>
      <c r="G337" s="68" t="s">
        <v>62</v>
      </c>
    </row>
    <row r="338">
      <c r="A338" s="53"/>
      <c r="B338" s="53"/>
      <c r="C338" s="53"/>
      <c r="D338" s="53"/>
      <c r="E338" s="53"/>
      <c r="F338" s="53"/>
      <c r="G338" s="68" t="s">
        <v>62</v>
      </c>
    </row>
    <row r="339">
      <c r="A339" s="53"/>
      <c r="B339" s="53"/>
      <c r="C339" s="53"/>
      <c r="D339" s="53"/>
      <c r="E339" s="53"/>
      <c r="F339" s="53"/>
      <c r="G339" s="68" t="s">
        <v>62</v>
      </c>
    </row>
    <row r="340">
      <c r="A340" s="53"/>
      <c r="B340" s="53"/>
      <c r="C340" s="53"/>
      <c r="D340" s="53"/>
      <c r="E340" s="53"/>
      <c r="F340" s="53"/>
      <c r="G340" s="68" t="s">
        <v>62</v>
      </c>
    </row>
    <row r="341">
      <c r="A341" s="53"/>
      <c r="B341" s="53"/>
      <c r="C341" s="53"/>
      <c r="D341" s="53"/>
      <c r="E341" s="53"/>
      <c r="F341" s="53"/>
      <c r="G341" s="68" t="s">
        <v>62</v>
      </c>
    </row>
    <row r="342">
      <c r="A342" s="53"/>
      <c r="B342" s="53"/>
      <c r="C342" s="53"/>
      <c r="D342" s="53"/>
      <c r="E342" s="53"/>
      <c r="F342" s="53"/>
      <c r="G342" s="68" t="s">
        <v>62</v>
      </c>
    </row>
    <row r="343">
      <c r="A343" s="53"/>
      <c r="B343" s="53"/>
      <c r="C343" s="53"/>
      <c r="D343" s="53"/>
      <c r="E343" s="53"/>
      <c r="F343" s="53"/>
      <c r="G343" s="68" t="s">
        <v>62</v>
      </c>
    </row>
    <row r="344">
      <c r="A344" s="53"/>
      <c r="B344" s="53"/>
      <c r="C344" s="53"/>
      <c r="D344" s="53"/>
      <c r="E344" s="53"/>
      <c r="F344" s="53"/>
      <c r="G344" s="68" t="s">
        <v>62</v>
      </c>
    </row>
    <row r="345">
      <c r="A345" s="53"/>
      <c r="B345" s="53"/>
      <c r="C345" s="53"/>
      <c r="D345" s="53"/>
      <c r="E345" s="53"/>
      <c r="F345" s="53"/>
      <c r="G345" s="68" t="s">
        <v>62</v>
      </c>
    </row>
    <row r="346">
      <c r="A346" s="53"/>
      <c r="B346" s="53"/>
      <c r="C346" s="53"/>
      <c r="D346" s="53"/>
      <c r="E346" s="53"/>
      <c r="F346" s="53"/>
      <c r="G346" s="68" t="s">
        <v>62</v>
      </c>
    </row>
    <row r="347">
      <c r="A347" s="53"/>
      <c r="B347" s="53"/>
      <c r="C347" s="53"/>
      <c r="D347" s="53"/>
      <c r="E347" s="53"/>
      <c r="F347" s="53"/>
      <c r="G347" s="68" t="s">
        <v>62</v>
      </c>
    </row>
    <row r="348">
      <c r="A348" s="53"/>
      <c r="B348" s="53"/>
      <c r="C348" s="53"/>
      <c r="D348" s="53"/>
      <c r="E348" s="53"/>
      <c r="F348" s="53"/>
      <c r="G348" s="68" t="s">
        <v>62</v>
      </c>
    </row>
    <row r="349">
      <c r="A349" s="53"/>
      <c r="B349" s="53"/>
      <c r="C349" s="53"/>
      <c r="D349" s="53"/>
      <c r="E349" s="53"/>
      <c r="F349" s="53"/>
      <c r="G349" s="68" t="s">
        <v>62</v>
      </c>
    </row>
    <row r="350">
      <c r="A350" s="53"/>
      <c r="B350" s="53"/>
      <c r="C350" s="53"/>
      <c r="D350" s="53"/>
      <c r="E350" s="53"/>
      <c r="F350" s="53"/>
      <c r="G350" s="68" t="s">
        <v>62</v>
      </c>
    </row>
    <row r="351">
      <c r="A351" s="53"/>
      <c r="B351" s="53"/>
      <c r="C351" s="53"/>
      <c r="D351" s="53"/>
      <c r="E351" s="53"/>
      <c r="F351" s="53"/>
      <c r="G351" s="68" t="s">
        <v>62</v>
      </c>
    </row>
    <row r="352">
      <c r="A352" s="53"/>
      <c r="B352" s="53"/>
      <c r="C352" s="53"/>
      <c r="D352" s="53"/>
      <c r="E352" s="53"/>
      <c r="F352" s="53"/>
      <c r="G352" s="68" t="s">
        <v>62</v>
      </c>
    </row>
    <row r="353">
      <c r="A353" s="53"/>
      <c r="B353" s="53"/>
      <c r="C353" s="53"/>
      <c r="D353" s="53"/>
      <c r="E353" s="53"/>
      <c r="F353" s="53"/>
      <c r="G353" s="68" t="s">
        <v>62</v>
      </c>
    </row>
    <row r="354">
      <c r="A354" s="53"/>
      <c r="B354" s="53"/>
      <c r="C354" s="53"/>
      <c r="D354" s="53"/>
      <c r="E354" s="53"/>
      <c r="F354" s="53"/>
      <c r="G354" s="68" t="s">
        <v>62</v>
      </c>
    </row>
    <row r="355">
      <c r="A355" s="53"/>
      <c r="B355" s="53"/>
      <c r="C355" s="53"/>
      <c r="D355" s="53"/>
      <c r="E355" s="53"/>
      <c r="F355" s="53"/>
      <c r="G355" s="68" t="s">
        <v>62</v>
      </c>
    </row>
    <row r="356">
      <c r="A356" s="53"/>
      <c r="B356" s="53"/>
      <c r="C356" s="53"/>
      <c r="D356" s="53"/>
      <c r="E356" s="53"/>
      <c r="F356" s="53"/>
      <c r="G356" s="68" t="s">
        <v>62</v>
      </c>
    </row>
    <row r="357">
      <c r="A357" s="53"/>
      <c r="B357" s="53"/>
      <c r="C357" s="53"/>
      <c r="D357" s="53"/>
      <c r="E357" s="53"/>
      <c r="F357" s="53"/>
      <c r="G357" s="68" t="s">
        <v>62</v>
      </c>
    </row>
    <row r="358">
      <c r="A358" s="53"/>
      <c r="B358" s="53"/>
      <c r="C358" s="53"/>
      <c r="D358" s="53"/>
      <c r="E358" s="53"/>
      <c r="F358" s="53"/>
      <c r="G358" s="68" t="s">
        <v>62</v>
      </c>
    </row>
    <row r="359">
      <c r="A359" s="53"/>
      <c r="B359" s="53"/>
      <c r="C359" s="53"/>
      <c r="D359" s="53"/>
      <c r="E359" s="53"/>
      <c r="F359" s="53"/>
      <c r="G359" s="68" t="s">
        <v>62</v>
      </c>
    </row>
    <row r="360">
      <c r="A360" s="53"/>
      <c r="B360" s="53"/>
      <c r="C360" s="53"/>
      <c r="D360" s="53"/>
      <c r="E360" s="53"/>
      <c r="F360" s="53"/>
      <c r="G360" s="68" t="s">
        <v>62</v>
      </c>
    </row>
    <row r="361">
      <c r="A361" s="53"/>
      <c r="B361" s="53"/>
      <c r="C361" s="53"/>
      <c r="D361" s="53"/>
      <c r="E361" s="53"/>
      <c r="F361" s="53"/>
      <c r="G361" s="68" t="s">
        <v>62</v>
      </c>
    </row>
    <row r="362">
      <c r="A362" s="53"/>
      <c r="B362" s="53"/>
      <c r="C362" s="53"/>
      <c r="D362" s="53"/>
      <c r="E362" s="53"/>
      <c r="F362" s="53"/>
      <c r="G362" s="68" t="s">
        <v>62</v>
      </c>
    </row>
    <row r="363">
      <c r="A363" s="53"/>
      <c r="B363" s="53"/>
      <c r="C363" s="53"/>
      <c r="D363" s="53"/>
      <c r="E363" s="53"/>
      <c r="F363" s="53"/>
      <c r="G363" s="68" t="s">
        <v>62</v>
      </c>
    </row>
    <row r="364">
      <c r="A364" s="53"/>
      <c r="B364" s="53"/>
      <c r="C364" s="53"/>
      <c r="D364" s="53"/>
      <c r="E364" s="53"/>
      <c r="F364" s="53"/>
      <c r="G364" s="68" t="s">
        <v>62</v>
      </c>
    </row>
    <row r="365">
      <c r="A365" s="53"/>
      <c r="B365" s="53"/>
      <c r="C365" s="53"/>
      <c r="D365" s="53"/>
      <c r="E365" s="53"/>
      <c r="F365" s="53"/>
      <c r="G365" s="68" t="s">
        <v>62</v>
      </c>
    </row>
    <row r="366">
      <c r="A366" s="53"/>
      <c r="B366" s="53"/>
      <c r="C366" s="53"/>
      <c r="D366" s="53"/>
      <c r="E366" s="53"/>
      <c r="F366" s="53"/>
      <c r="G366" s="68" t="s">
        <v>62</v>
      </c>
    </row>
    <row r="367">
      <c r="A367" s="53"/>
      <c r="B367" s="53"/>
      <c r="C367" s="53"/>
      <c r="D367" s="53"/>
      <c r="E367" s="53"/>
      <c r="F367" s="53"/>
      <c r="G367" s="68" t="s">
        <v>62</v>
      </c>
    </row>
    <row r="368">
      <c r="A368" s="53"/>
      <c r="B368" s="53"/>
      <c r="C368" s="53"/>
      <c r="D368" s="53"/>
      <c r="E368" s="53"/>
      <c r="F368" s="53"/>
      <c r="G368" s="68" t="s">
        <v>62</v>
      </c>
    </row>
    <row r="369">
      <c r="A369" s="53"/>
      <c r="B369" s="53"/>
      <c r="C369" s="53"/>
      <c r="D369" s="53"/>
      <c r="E369" s="53"/>
      <c r="F369" s="53"/>
      <c r="G369" s="68" t="s">
        <v>62</v>
      </c>
    </row>
    <row r="370">
      <c r="A370" s="53"/>
      <c r="B370" s="53"/>
      <c r="C370" s="53"/>
      <c r="D370" s="53"/>
      <c r="E370" s="53"/>
      <c r="F370" s="53"/>
      <c r="G370" s="68" t="s">
        <v>62</v>
      </c>
    </row>
    <row r="371">
      <c r="A371" s="53"/>
      <c r="B371" s="53"/>
      <c r="C371" s="53"/>
      <c r="D371" s="53"/>
      <c r="E371" s="53"/>
      <c r="F371" s="53"/>
      <c r="G371" s="68" t="s">
        <v>62</v>
      </c>
    </row>
    <row r="372">
      <c r="A372" s="53"/>
      <c r="B372" s="53"/>
      <c r="C372" s="53"/>
      <c r="D372" s="53"/>
      <c r="E372" s="53"/>
      <c r="F372" s="53"/>
      <c r="G372" s="68" t="s">
        <v>62</v>
      </c>
    </row>
    <row r="373">
      <c r="A373" s="53"/>
      <c r="B373" s="53"/>
      <c r="C373" s="53"/>
      <c r="D373" s="53"/>
      <c r="E373" s="53"/>
      <c r="F373" s="53"/>
      <c r="G373" s="68" t="s">
        <v>62</v>
      </c>
    </row>
    <row r="374">
      <c r="A374" s="53"/>
      <c r="B374" s="53"/>
      <c r="C374" s="53"/>
      <c r="D374" s="53"/>
      <c r="E374" s="53"/>
      <c r="F374" s="53"/>
      <c r="G374" s="68" t="s">
        <v>62</v>
      </c>
    </row>
    <row r="375">
      <c r="A375" s="53"/>
      <c r="B375" s="53"/>
      <c r="C375" s="53"/>
      <c r="D375" s="53"/>
      <c r="E375" s="53"/>
      <c r="F375" s="53"/>
      <c r="G375" s="68" t="s">
        <v>62</v>
      </c>
    </row>
    <row r="376">
      <c r="A376" s="53"/>
      <c r="B376" s="53"/>
      <c r="C376" s="53"/>
      <c r="D376" s="53"/>
      <c r="E376" s="53"/>
      <c r="F376" s="53"/>
      <c r="G376" s="68" t="s">
        <v>62</v>
      </c>
    </row>
    <row r="377">
      <c r="A377" s="53"/>
      <c r="B377" s="53"/>
      <c r="C377" s="53"/>
      <c r="D377" s="53"/>
      <c r="E377" s="53"/>
      <c r="F377" s="53"/>
      <c r="G377" s="68" t="s">
        <v>62</v>
      </c>
    </row>
    <row r="378">
      <c r="A378" s="53"/>
      <c r="B378" s="53"/>
      <c r="C378" s="53"/>
      <c r="D378" s="53"/>
      <c r="E378" s="53"/>
      <c r="F378" s="53"/>
      <c r="G378" s="68" t="s">
        <v>62</v>
      </c>
    </row>
    <row r="379">
      <c r="A379" s="53"/>
      <c r="B379" s="53"/>
      <c r="C379" s="53"/>
      <c r="D379" s="53"/>
      <c r="E379" s="53"/>
      <c r="F379" s="53"/>
      <c r="G379" s="68" t="s">
        <v>62</v>
      </c>
    </row>
    <row r="380">
      <c r="A380" s="53"/>
      <c r="B380" s="53"/>
      <c r="C380" s="53"/>
      <c r="D380" s="53"/>
      <c r="E380" s="53"/>
      <c r="F380" s="53"/>
      <c r="G380" s="68" t="s">
        <v>62</v>
      </c>
    </row>
    <row r="381">
      <c r="A381" s="53"/>
      <c r="B381" s="53"/>
      <c r="C381" s="53"/>
      <c r="D381" s="53"/>
      <c r="E381" s="53"/>
      <c r="F381" s="53"/>
      <c r="G381" s="68" t="s">
        <v>62</v>
      </c>
    </row>
    <row r="382">
      <c r="A382" s="53"/>
      <c r="B382" s="53"/>
      <c r="C382" s="53"/>
      <c r="D382" s="53"/>
      <c r="E382" s="53"/>
      <c r="F382" s="53"/>
      <c r="G382" s="68" t="s">
        <v>62</v>
      </c>
    </row>
    <row r="383">
      <c r="A383" s="53"/>
      <c r="B383" s="53"/>
      <c r="C383" s="53"/>
      <c r="D383" s="53"/>
      <c r="E383" s="53"/>
      <c r="F383" s="53"/>
      <c r="G383" s="68" t="s">
        <v>62</v>
      </c>
    </row>
    <row r="384">
      <c r="A384" s="53"/>
      <c r="B384" s="53"/>
      <c r="C384" s="53"/>
      <c r="D384" s="53"/>
      <c r="E384" s="53"/>
      <c r="F384" s="53"/>
      <c r="G384" s="68" t="s">
        <v>62</v>
      </c>
    </row>
    <row r="385">
      <c r="A385" s="53"/>
      <c r="B385" s="53"/>
      <c r="C385" s="53"/>
      <c r="D385" s="53"/>
      <c r="E385" s="53"/>
      <c r="F385" s="53"/>
      <c r="G385" s="68" t="s">
        <v>62</v>
      </c>
    </row>
    <row r="386">
      <c r="A386" s="53"/>
      <c r="B386" s="53"/>
      <c r="C386" s="53"/>
      <c r="D386" s="53"/>
      <c r="E386" s="53"/>
      <c r="F386" s="53"/>
      <c r="G386" s="68" t="s">
        <v>62</v>
      </c>
    </row>
    <row r="387">
      <c r="A387" s="53"/>
      <c r="B387" s="53"/>
      <c r="C387" s="53"/>
      <c r="D387" s="53"/>
      <c r="E387" s="53"/>
      <c r="F387" s="53"/>
      <c r="G387" s="68" t="s">
        <v>62</v>
      </c>
    </row>
    <row r="388">
      <c r="A388" s="53"/>
      <c r="B388" s="53"/>
      <c r="C388" s="53"/>
      <c r="D388" s="53"/>
      <c r="E388" s="53"/>
      <c r="F388" s="53"/>
      <c r="G388" s="68" t="s">
        <v>62</v>
      </c>
    </row>
    <row r="389">
      <c r="A389" s="53"/>
      <c r="B389" s="53"/>
      <c r="C389" s="53"/>
      <c r="D389" s="53"/>
      <c r="E389" s="53"/>
      <c r="F389" s="53"/>
      <c r="G389" s="68" t="s">
        <v>62</v>
      </c>
    </row>
    <row r="390">
      <c r="A390" s="53"/>
      <c r="B390" s="53"/>
      <c r="C390" s="53"/>
      <c r="D390" s="53"/>
      <c r="E390" s="53"/>
      <c r="F390" s="53"/>
      <c r="G390" s="68" t="s">
        <v>62</v>
      </c>
    </row>
    <row r="391">
      <c r="A391" s="53"/>
      <c r="B391" s="53"/>
      <c r="C391" s="53"/>
      <c r="D391" s="53"/>
      <c r="E391" s="53"/>
      <c r="F391" s="53"/>
      <c r="G391" s="68" t="s">
        <v>62</v>
      </c>
    </row>
    <row r="392">
      <c r="A392" s="53"/>
      <c r="B392" s="53"/>
      <c r="C392" s="53"/>
      <c r="D392" s="53"/>
      <c r="E392" s="53"/>
      <c r="F392" s="53"/>
      <c r="G392" s="68" t="s">
        <v>62</v>
      </c>
    </row>
    <row r="393">
      <c r="A393" s="53"/>
      <c r="B393" s="53"/>
      <c r="C393" s="53"/>
      <c r="D393" s="53"/>
      <c r="E393" s="53"/>
      <c r="F393" s="53"/>
      <c r="G393" s="68" t="s">
        <v>62</v>
      </c>
    </row>
    <row r="394">
      <c r="A394" s="53"/>
      <c r="B394" s="53"/>
      <c r="C394" s="53"/>
      <c r="D394" s="53"/>
      <c r="E394" s="53"/>
      <c r="F394" s="53"/>
      <c r="G394" s="68" t="s">
        <v>62</v>
      </c>
    </row>
    <row r="395">
      <c r="A395" s="53"/>
      <c r="B395" s="53"/>
      <c r="C395" s="53"/>
      <c r="D395" s="53"/>
      <c r="E395" s="53"/>
      <c r="F395" s="53"/>
      <c r="G395" s="68" t="s">
        <v>62</v>
      </c>
    </row>
    <row r="396">
      <c r="A396" s="53"/>
      <c r="B396" s="53"/>
      <c r="C396" s="53"/>
      <c r="D396" s="53"/>
      <c r="E396" s="53"/>
      <c r="F396" s="53"/>
      <c r="G396" s="68" t="s">
        <v>62</v>
      </c>
    </row>
    <row r="397">
      <c r="A397" s="53"/>
      <c r="B397" s="53"/>
      <c r="C397" s="53"/>
      <c r="D397" s="53"/>
      <c r="E397" s="53"/>
      <c r="F397" s="53"/>
      <c r="G397" s="68" t="s">
        <v>62</v>
      </c>
    </row>
    <row r="398">
      <c r="A398" s="53"/>
      <c r="B398" s="53"/>
      <c r="C398" s="53"/>
      <c r="D398" s="53"/>
      <c r="E398" s="53"/>
      <c r="F398" s="53"/>
      <c r="G398" s="68" t="s">
        <v>62</v>
      </c>
    </row>
    <row r="399">
      <c r="A399" s="53"/>
      <c r="B399" s="53"/>
      <c r="C399" s="53"/>
      <c r="D399" s="53"/>
      <c r="E399" s="53"/>
      <c r="F399" s="53"/>
      <c r="G399" s="68" t="s">
        <v>62</v>
      </c>
    </row>
    <row r="400">
      <c r="A400" s="53"/>
      <c r="B400" s="53"/>
      <c r="C400" s="53"/>
      <c r="D400" s="53"/>
      <c r="E400" s="53"/>
      <c r="F400" s="53"/>
      <c r="G400" s="68" t="s">
        <v>62</v>
      </c>
    </row>
    <row r="401">
      <c r="A401" s="53"/>
      <c r="B401" s="53"/>
      <c r="C401" s="53"/>
      <c r="D401" s="53"/>
      <c r="E401" s="53"/>
      <c r="F401" s="53"/>
      <c r="G401" s="68" t="s">
        <v>62</v>
      </c>
    </row>
    <row r="402">
      <c r="A402" s="53"/>
      <c r="B402" s="53"/>
      <c r="C402" s="53"/>
      <c r="D402" s="53"/>
      <c r="E402" s="53"/>
      <c r="F402" s="53"/>
      <c r="G402" s="68" t="s">
        <v>62</v>
      </c>
    </row>
    <row r="403">
      <c r="A403" s="53"/>
      <c r="B403" s="53"/>
      <c r="C403" s="53"/>
      <c r="D403" s="53"/>
      <c r="E403" s="53"/>
      <c r="F403" s="53"/>
      <c r="G403" s="68" t="s">
        <v>62</v>
      </c>
    </row>
    <row r="404">
      <c r="A404" s="53"/>
      <c r="B404" s="53"/>
      <c r="C404" s="53"/>
      <c r="D404" s="53"/>
      <c r="E404" s="53"/>
      <c r="F404" s="53"/>
      <c r="G404" s="68" t="s">
        <v>62</v>
      </c>
    </row>
    <row r="405">
      <c r="A405" s="53"/>
      <c r="B405" s="53"/>
      <c r="C405" s="53"/>
      <c r="D405" s="53"/>
      <c r="E405" s="53"/>
      <c r="F405" s="53"/>
      <c r="G405" s="68" t="s">
        <v>62</v>
      </c>
    </row>
    <row r="406">
      <c r="A406" s="53"/>
      <c r="B406" s="53"/>
      <c r="C406" s="53"/>
      <c r="D406" s="53"/>
      <c r="E406" s="53"/>
      <c r="F406" s="53"/>
      <c r="G406" s="68" t="s">
        <v>62</v>
      </c>
    </row>
    <row r="407">
      <c r="A407" s="53"/>
      <c r="B407" s="53"/>
      <c r="C407" s="53"/>
      <c r="D407" s="53"/>
      <c r="E407" s="53"/>
      <c r="F407" s="53"/>
      <c r="G407" s="68" t="s">
        <v>62</v>
      </c>
    </row>
    <row r="408">
      <c r="A408" s="53"/>
      <c r="B408" s="53"/>
      <c r="C408" s="53"/>
      <c r="D408" s="53"/>
      <c r="E408" s="53"/>
      <c r="F408" s="53"/>
      <c r="G408" s="68" t="s">
        <v>62</v>
      </c>
    </row>
    <row r="409">
      <c r="A409" s="53"/>
      <c r="B409" s="53"/>
      <c r="C409" s="53"/>
      <c r="D409" s="53"/>
      <c r="E409" s="53"/>
      <c r="F409" s="53"/>
      <c r="G409" s="68" t="s">
        <v>62</v>
      </c>
    </row>
    <row r="410">
      <c r="A410" s="53"/>
      <c r="B410" s="53"/>
      <c r="C410" s="53"/>
      <c r="D410" s="53"/>
      <c r="E410" s="53"/>
      <c r="F410" s="53"/>
      <c r="G410" s="68" t="s">
        <v>62</v>
      </c>
    </row>
    <row r="411">
      <c r="A411" s="53"/>
      <c r="B411" s="53"/>
      <c r="C411" s="53"/>
      <c r="D411" s="53"/>
      <c r="E411" s="53"/>
      <c r="F411" s="53"/>
      <c r="G411" s="68" t="s">
        <v>62</v>
      </c>
    </row>
    <row r="412">
      <c r="A412" s="53"/>
      <c r="B412" s="53"/>
      <c r="C412" s="53"/>
      <c r="D412" s="53"/>
      <c r="E412" s="53"/>
      <c r="F412" s="53"/>
      <c r="G412" s="68" t="s">
        <v>62</v>
      </c>
    </row>
    <row r="413">
      <c r="A413" s="53"/>
      <c r="B413" s="53"/>
      <c r="C413" s="53"/>
      <c r="D413" s="53"/>
      <c r="E413" s="53"/>
      <c r="F413" s="53"/>
      <c r="G413" s="68" t="s">
        <v>62</v>
      </c>
    </row>
    <row r="414">
      <c r="A414" s="53"/>
      <c r="B414" s="53"/>
      <c r="C414" s="53"/>
      <c r="D414" s="53"/>
      <c r="E414" s="53"/>
      <c r="F414" s="53"/>
      <c r="G414" s="68" t="s">
        <v>62</v>
      </c>
    </row>
    <row r="415">
      <c r="A415" s="53"/>
      <c r="B415" s="53"/>
      <c r="C415" s="53"/>
      <c r="D415" s="53"/>
      <c r="E415" s="53"/>
      <c r="F415" s="53"/>
      <c r="G415" s="68" t="s">
        <v>62</v>
      </c>
    </row>
    <row r="416">
      <c r="A416" s="53"/>
      <c r="B416" s="53"/>
      <c r="C416" s="53"/>
      <c r="D416" s="53"/>
      <c r="E416" s="53"/>
      <c r="F416" s="53"/>
      <c r="G416" s="68" t="s">
        <v>62</v>
      </c>
    </row>
    <row r="417">
      <c r="A417" s="53"/>
      <c r="B417" s="53"/>
      <c r="C417" s="53"/>
      <c r="D417" s="53"/>
      <c r="E417" s="53"/>
      <c r="F417" s="53"/>
      <c r="G417" s="68" t="s">
        <v>62</v>
      </c>
    </row>
    <row r="418">
      <c r="A418" s="53"/>
      <c r="B418" s="53"/>
      <c r="C418" s="53"/>
      <c r="D418" s="53"/>
      <c r="E418" s="53"/>
      <c r="F418" s="53"/>
      <c r="G418" s="68" t="s">
        <v>62</v>
      </c>
    </row>
    <row r="419">
      <c r="A419" s="53"/>
      <c r="B419" s="53"/>
      <c r="C419" s="53"/>
      <c r="D419" s="53"/>
      <c r="E419" s="53"/>
      <c r="F419" s="53"/>
      <c r="G419" s="68" t="s">
        <v>62</v>
      </c>
    </row>
    <row r="420">
      <c r="A420" s="53"/>
      <c r="B420" s="53"/>
      <c r="C420" s="53"/>
      <c r="D420" s="53"/>
      <c r="E420" s="53"/>
      <c r="F420" s="53"/>
      <c r="G420" s="68" t="s">
        <v>62</v>
      </c>
    </row>
    <row r="421">
      <c r="A421" s="53"/>
      <c r="B421" s="53"/>
      <c r="C421" s="53"/>
      <c r="D421" s="53"/>
      <c r="E421" s="53"/>
      <c r="F421" s="53"/>
      <c r="G421" s="68" t="s">
        <v>62</v>
      </c>
    </row>
    <row r="422">
      <c r="A422" s="53"/>
      <c r="B422" s="53"/>
      <c r="C422" s="53"/>
      <c r="D422" s="53"/>
      <c r="E422" s="53"/>
      <c r="F422" s="53"/>
      <c r="G422" s="68" t="s">
        <v>62</v>
      </c>
    </row>
    <row r="423">
      <c r="A423" s="53"/>
      <c r="B423" s="53"/>
      <c r="C423" s="53"/>
      <c r="D423" s="53"/>
      <c r="E423" s="53"/>
      <c r="F423" s="53"/>
      <c r="G423" s="68" t="s">
        <v>62</v>
      </c>
    </row>
    <row r="424">
      <c r="A424" s="53"/>
      <c r="B424" s="53"/>
      <c r="C424" s="53"/>
      <c r="D424" s="53"/>
      <c r="E424" s="53"/>
      <c r="F424" s="53"/>
      <c r="G424" s="68" t="s">
        <v>62</v>
      </c>
    </row>
    <row r="425">
      <c r="A425" s="53"/>
      <c r="B425" s="53"/>
      <c r="C425" s="53"/>
      <c r="D425" s="53"/>
      <c r="E425" s="53"/>
      <c r="F425" s="53"/>
      <c r="G425" s="68" t="s">
        <v>62</v>
      </c>
    </row>
    <row r="426">
      <c r="A426" s="53"/>
      <c r="B426" s="53"/>
      <c r="C426" s="53"/>
      <c r="D426" s="53"/>
      <c r="E426" s="53"/>
      <c r="F426" s="53"/>
      <c r="G426" s="68" t="s">
        <v>62</v>
      </c>
    </row>
    <row r="427">
      <c r="A427" s="53"/>
      <c r="B427" s="53"/>
      <c r="C427" s="53"/>
      <c r="D427" s="53"/>
      <c r="E427" s="53"/>
      <c r="F427" s="53"/>
      <c r="G427" s="68" t="s">
        <v>62</v>
      </c>
    </row>
    <row r="428">
      <c r="A428" s="53"/>
      <c r="B428" s="53"/>
      <c r="C428" s="53"/>
      <c r="D428" s="53"/>
      <c r="E428" s="53"/>
      <c r="F428" s="53"/>
      <c r="G428" s="68" t="s">
        <v>62</v>
      </c>
    </row>
    <row r="429">
      <c r="A429" s="53"/>
      <c r="B429" s="53"/>
      <c r="C429" s="53"/>
      <c r="D429" s="53"/>
      <c r="E429" s="53"/>
      <c r="F429" s="53"/>
      <c r="G429" s="68" t="s">
        <v>62</v>
      </c>
    </row>
    <row r="430">
      <c r="A430" s="53"/>
      <c r="B430" s="53"/>
      <c r="C430" s="53"/>
      <c r="D430" s="53"/>
      <c r="E430" s="53"/>
      <c r="F430" s="53"/>
      <c r="G430" s="68" t="s">
        <v>62</v>
      </c>
    </row>
    <row r="431">
      <c r="A431" s="53"/>
      <c r="B431" s="53"/>
      <c r="C431" s="53"/>
      <c r="D431" s="53"/>
      <c r="E431" s="53"/>
      <c r="F431" s="53"/>
      <c r="G431" s="68" t="s">
        <v>62</v>
      </c>
    </row>
    <row r="432">
      <c r="A432" s="53"/>
      <c r="B432" s="53"/>
      <c r="C432" s="53"/>
      <c r="D432" s="53"/>
      <c r="E432" s="53"/>
      <c r="F432" s="53"/>
      <c r="G432" s="68" t="s">
        <v>62</v>
      </c>
    </row>
    <row r="433">
      <c r="A433" s="53"/>
      <c r="B433" s="53"/>
      <c r="C433" s="53"/>
      <c r="D433" s="53"/>
      <c r="E433" s="53"/>
      <c r="F433" s="53"/>
      <c r="G433" s="68" t="s">
        <v>62</v>
      </c>
    </row>
    <row r="434">
      <c r="A434" s="53"/>
      <c r="B434" s="53"/>
      <c r="C434" s="53"/>
      <c r="D434" s="53"/>
      <c r="E434" s="53"/>
      <c r="F434" s="53"/>
      <c r="G434" s="68" t="s">
        <v>62</v>
      </c>
    </row>
    <row r="435">
      <c r="A435" s="53"/>
      <c r="B435" s="53"/>
      <c r="C435" s="53"/>
      <c r="D435" s="53"/>
      <c r="E435" s="53"/>
      <c r="F435" s="53"/>
      <c r="G435" s="68" t="s">
        <v>62</v>
      </c>
    </row>
    <row r="436">
      <c r="A436" s="53"/>
      <c r="B436" s="53"/>
      <c r="C436" s="53"/>
      <c r="D436" s="53"/>
      <c r="E436" s="53"/>
      <c r="F436" s="53"/>
      <c r="G436" s="68" t="s">
        <v>62</v>
      </c>
    </row>
    <row r="437">
      <c r="A437" s="53"/>
      <c r="B437" s="53"/>
      <c r="C437" s="53"/>
      <c r="D437" s="53"/>
      <c r="E437" s="53"/>
      <c r="F437" s="53"/>
      <c r="G437" s="68" t="s">
        <v>62</v>
      </c>
    </row>
    <row r="438">
      <c r="A438" s="53"/>
      <c r="B438" s="53"/>
      <c r="C438" s="53"/>
      <c r="D438" s="53"/>
      <c r="E438" s="53"/>
      <c r="F438" s="53"/>
      <c r="G438" s="68" t="s">
        <v>62</v>
      </c>
    </row>
    <row r="439">
      <c r="A439" s="53"/>
      <c r="B439" s="53"/>
      <c r="C439" s="53"/>
      <c r="D439" s="53"/>
      <c r="E439" s="53"/>
      <c r="F439" s="53"/>
      <c r="G439" s="68" t="s">
        <v>62</v>
      </c>
    </row>
    <row r="440">
      <c r="A440" s="53"/>
      <c r="B440" s="53"/>
      <c r="C440" s="53"/>
      <c r="D440" s="53"/>
      <c r="E440" s="53"/>
      <c r="F440" s="53"/>
      <c r="G440" s="68" t="s">
        <v>62</v>
      </c>
    </row>
    <row r="441">
      <c r="A441" s="53"/>
      <c r="B441" s="53"/>
      <c r="C441" s="53"/>
      <c r="D441" s="53"/>
      <c r="E441" s="53"/>
      <c r="F441" s="53"/>
      <c r="G441" s="68" t="s">
        <v>62</v>
      </c>
    </row>
    <row r="442">
      <c r="A442" s="53"/>
      <c r="B442" s="53"/>
      <c r="C442" s="53"/>
      <c r="D442" s="53"/>
      <c r="E442" s="53"/>
      <c r="F442" s="53"/>
      <c r="G442" s="68" t="s">
        <v>62</v>
      </c>
    </row>
    <row r="443">
      <c r="A443" s="53"/>
      <c r="B443" s="53"/>
      <c r="C443" s="53"/>
      <c r="D443" s="53"/>
      <c r="E443" s="53"/>
      <c r="F443" s="53"/>
      <c r="G443" s="68" t="s">
        <v>62</v>
      </c>
    </row>
    <row r="444">
      <c r="A444" s="53"/>
      <c r="B444" s="53"/>
      <c r="C444" s="53"/>
      <c r="D444" s="53"/>
      <c r="E444" s="53"/>
      <c r="F444" s="53"/>
      <c r="G444" s="68" t="s">
        <v>62</v>
      </c>
    </row>
    <row r="445">
      <c r="A445" s="53"/>
      <c r="B445" s="53"/>
      <c r="C445" s="53"/>
      <c r="D445" s="53"/>
      <c r="E445" s="53"/>
      <c r="F445" s="53"/>
      <c r="G445" s="68" t="s">
        <v>62</v>
      </c>
    </row>
    <row r="446">
      <c r="A446" s="53"/>
      <c r="B446" s="53"/>
      <c r="C446" s="53"/>
      <c r="D446" s="53"/>
      <c r="E446" s="53"/>
      <c r="F446" s="53"/>
      <c r="G446" s="68" t="s">
        <v>62</v>
      </c>
    </row>
    <row r="447">
      <c r="A447" s="53"/>
      <c r="B447" s="53"/>
      <c r="C447" s="53"/>
      <c r="D447" s="53"/>
      <c r="E447" s="53"/>
      <c r="F447" s="53"/>
      <c r="G447" s="68" t="s">
        <v>62</v>
      </c>
    </row>
    <row r="448">
      <c r="A448" s="53"/>
      <c r="B448" s="53"/>
      <c r="C448" s="53"/>
      <c r="D448" s="53"/>
      <c r="E448" s="53"/>
      <c r="F448" s="53"/>
      <c r="G448" s="68" t="s">
        <v>62</v>
      </c>
    </row>
    <row r="449">
      <c r="A449" s="53"/>
      <c r="B449" s="53"/>
      <c r="C449" s="53"/>
      <c r="D449" s="53"/>
      <c r="E449" s="53"/>
      <c r="F449" s="53"/>
      <c r="G449" s="68" t="s">
        <v>62</v>
      </c>
    </row>
    <row r="450">
      <c r="A450" s="53"/>
      <c r="B450" s="53"/>
      <c r="C450" s="53"/>
      <c r="D450" s="53"/>
      <c r="E450" s="53"/>
      <c r="F450" s="53"/>
      <c r="G450" s="68" t="s">
        <v>62</v>
      </c>
    </row>
    <row r="451">
      <c r="A451" s="53"/>
      <c r="B451" s="53"/>
      <c r="C451" s="53"/>
      <c r="D451" s="53"/>
      <c r="E451" s="53"/>
      <c r="F451" s="53"/>
      <c r="G451" s="68" t="s">
        <v>62</v>
      </c>
    </row>
    <row r="452">
      <c r="A452" s="53"/>
      <c r="B452" s="53"/>
      <c r="C452" s="53"/>
      <c r="D452" s="53"/>
      <c r="E452" s="53"/>
      <c r="F452" s="53"/>
      <c r="G452" s="68" t="s">
        <v>62</v>
      </c>
    </row>
    <row r="453">
      <c r="A453" s="53"/>
      <c r="B453" s="53"/>
      <c r="C453" s="53"/>
      <c r="D453" s="53"/>
      <c r="E453" s="53"/>
      <c r="F453" s="53"/>
      <c r="G453" s="68" t="s">
        <v>62</v>
      </c>
    </row>
    <row r="454">
      <c r="A454" s="53"/>
      <c r="B454" s="53"/>
      <c r="C454" s="53"/>
      <c r="D454" s="53"/>
      <c r="E454" s="53"/>
      <c r="F454" s="53"/>
      <c r="G454" s="68" t="s">
        <v>62</v>
      </c>
    </row>
    <row r="455">
      <c r="A455" s="53"/>
      <c r="B455" s="53"/>
      <c r="C455" s="53"/>
      <c r="D455" s="53"/>
      <c r="E455" s="53"/>
      <c r="F455" s="53"/>
      <c r="G455" s="68" t="s">
        <v>62</v>
      </c>
    </row>
    <row r="456">
      <c r="A456" s="53"/>
      <c r="B456" s="53"/>
      <c r="C456" s="53"/>
      <c r="D456" s="53"/>
      <c r="E456" s="53"/>
      <c r="F456" s="53"/>
      <c r="G456" s="68" t="s">
        <v>62</v>
      </c>
    </row>
    <row r="457">
      <c r="A457" s="53"/>
      <c r="B457" s="53"/>
      <c r="C457" s="53"/>
      <c r="D457" s="53"/>
      <c r="E457" s="53"/>
      <c r="F457" s="53"/>
      <c r="G457" s="68" t="s">
        <v>62</v>
      </c>
    </row>
    <row r="458">
      <c r="A458" s="53"/>
      <c r="B458" s="53"/>
      <c r="C458" s="53"/>
      <c r="D458" s="53"/>
      <c r="E458" s="53"/>
      <c r="F458" s="53"/>
      <c r="G458" s="68" t="s">
        <v>62</v>
      </c>
    </row>
    <row r="459">
      <c r="A459" s="53"/>
      <c r="B459" s="53"/>
      <c r="C459" s="53"/>
      <c r="D459" s="53"/>
      <c r="E459" s="53"/>
      <c r="F459" s="53"/>
      <c r="G459" s="68" t="s">
        <v>62</v>
      </c>
    </row>
    <row r="460">
      <c r="A460" s="53"/>
      <c r="B460" s="53"/>
      <c r="C460" s="53"/>
      <c r="D460" s="53"/>
      <c r="E460" s="53"/>
      <c r="F460" s="53"/>
      <c r="G460" s="68" t="s">
        <v>62</v>
      </c>
    </row>
    <row r="461">
      <c r="A461" s="53"/>
      <c r="B461" s="53"/>
      <c r="C461" s="53"/>
      <c r="D461" s="53"/>
      <c r="E461" s="53"/>
      <c r="F461" s="53"/>
      <c r="G461" s="68" t="s">
        <v>62</v>
      </c>
    </row>
    <row r="462">
      <c r="A462" s="53"/>
      <c r="B462" s="53"/>
      <c r="C462" s="53"/>
      <c r="D462" s="53"/>
      <c r="E462" s="53"/>
      <c r="F462" s="53"/>
      <c r="G462" s="68" t="s">
        <v>62</v>
      </c>
    </row>
    <row r="463">
      <c r="A463" s="53"/>
      <c r="B463" s="53"/>
      <c r="C463" s="53"/>
      <c r="D463" s="53"/>
      <c r="E463" s="53"/>
      <c r="F463" s="53"/>
      <c r="G463" s="68" t="s">
        <v>62</v>
      </c>
    </row>
    <row r="464">
      <c r="A464" s="53"/>
      <c r="B464" s="53"/>
      <c r="C464" s="53"/>
      <c r="D464" s="53"/>
      <c r="E464" s="53"/>
      <c r="F464" s="53"/>
      <c r="G464" s="68" t="s">
        <v>62</v>
      </c>
    </row>
    <row r="465">
      <c r="A465" s="53"/>
      <c r="B465" s="53"/>
      <c r="C465" s="53"/>
      <c r="D465" s="53"/>
      <c r="E465" s="53"/>
      <c r="F465" s="53"/>
      <c r="G465" s="68" t="s">
        <v>62</v>
      </c>
    </row>
    <row r="466">
      <c r="A466" s="53"/>
      <c r="B466" s="53"/>
      <c r="C466" s="53"/>
      <c r="D466" s="53"/>
      <c r="E466" s="53"/>
      <c r="F466" s="53"/>
      <c r="G466" s="68" t="s">
        <v>62</v>
      </c>
    </row>
    <row r="467">
      <c r="A467" s="53"/>
      <c r="B467" s="53"/>
      <c r="C467" s="53"/>
      <c r="D467" s="53"/>
      <c r="E467" s="53"/>
      <c r="F467" s="53"/>
      <c r="G467" s="68" t="s">
        <v>62</v>
      </c>
    </row>
    <row r="468">
      <c r="A468" s="53"/>
      <c r="B468" s="53"/>
      <c r="C468" s="53"/>
      <c r="D468" s="53"/>
      <c r="E468" s="53"/>
      <c r="F468" s="53"/>
      <c r="G468" s="68" t="s">
        <v>62</v>
      </c>
    </row>
    <row r="469">
      <c r="A469" s="53"/>
      <c r="B469" s="53"/>
      <c r="C469" s="53"/>
      <c r="D469" s="53"/>
      <c r="E469" s="53"/>
      <c r="F469" s="53"/>
      <c r="G469" s="68" t="s">
        <v>62</v>
      </c>
    </row>
    <row r="470">
      <c r="A470" s="53"/>
      <c r="B470" s="53"/>
      <c r="C470" s="53"/>
      <c r="D470" s="53"/>
      <c r="E470" s="53"/>
      <c r="F470" s="53"/>
      <c r="G470" s="68" t="s">
        <v>62</v>
      </c>
    </row>
    <row r="471">
      <c r="A471" s="53"/>
      <c r="B471" s="53"/>
      <c r="C471" s="53"/>
      <c r="D471" s="53"/>
      <c r="E471" s="53"/>
      <c r="F471" s="53"/>
      <c r="G471" s="68" t="s">
        <v>62</v>
      </c>
    </row>
    <row r="472">
      <c r="A472" s="53"/>
      <c r="B472" s="53"/>
      <c r="C472" s="53"/>
      <c r="D472" s="53"/>
      <c r="E472" s="53"/>
      <c r="F472" s="53"/>
      <c r="G472" s="68" t="s">
        <v>62</v>
      </c>
    </row>
    <row r="473">
      <c r="A473" s="53"/>
      <c r="B473" s="53"/>
      <c r="C473" s="53"/>
      <c r="D473" s="53"/>
      <c r="E473" s="53"/>
      <c r="F473" s="53"/>
      <c r="G473" s="68" t="s">
        <v>62</v>
      </c>
    </row>
    <row r="474">
      <c r="A474" s="53"/>
      <c r="B474" s="53"/>
      <c r="C474" s="53"/>
      <c r="D474" s="53"/>
      <c r="E474" s="53"/>
      <c r="F474" s="53"/>
      <c r="G474" s="68" t="s">
        <v>62</v>
      </c>
    </row>
    <row r="475">
      <c r="A475" s="53"/>
      <c r="B475" s="53"/>
      <c r="C475" s="53"/>
      <c r="D475" s="53"/>
      <c r="E475" s="53"/>
      <c r="F475" s="53"/>
      <c r="G475" s="68" t="s">
        <v>62</v>
      </c>
    </row>
    <row r="476">
      <c r="A476" s="53"/>
      <c r="B476" s="53"/>
      <c r="C476" s="53"/>
      <c r="D476" s="53"/>
      <c r="E476" s="53"/>
      <c r="F476" s="53"/>
      <c r="G476" s="68" t="s">
        <v>62</v>
      </c>
    </row>
    <row r="477">
      <c r="A477" s="53"/>
      <c r="B477" s="53"/>
      <c r="C477" s="53"/>
      <c r="D477" s="53"/>
      <c r="E477" s="53"/>
      <c r="F477" s="53"/>
      <c r="G477" s="68" t="s">
        <v>62</v>
      </c>
    </row>
    <row r="478">
      <c r="A478" s="53"/>
      <c r="B478" s="53"/>
      <c r="C478" s="53"/>
      <c r="D478" s="53"/>
      <c r="E478" s="53"/>
      <c r="F478" s="53"/>
      <c r="G478" s="68" t="s">
        <v>62</v>
      </c>
    </row>
    <row r="479">
      <c r="A479" s="53"/>
      <c r="B479" s="53"/>
      <c r="C479" s="53"/>
      <c r="D479" s="53"/>
      <c r="E479" s="53"/>
      <c r="F479" s="53"/>
      <c r="G479" s="68" t="s">
        <v>62</v>
      </c>
    </row>
    <row r="480">
      <c r="A480" s="53"/>
      <c r="B480" s="53"/>
      <c r="C480" s="53"/>
      <c r="D480" s="53"/>
      <c r="E480" s="53"/>
      <c r="F480" s="53"/>
      <c r="G480" s="68" t="s">
        <v>62</v>
      </c>
    </row>
    <row r="481">
      <c r="A481" s="53"/>
      <c r="B481" s="53"/>
      <c r="C481" s="53"/>
      <c r="D481" s="53"/>
      <c r="E481" s="53"/>
      <c r="F481" s="53"/>
      <c r="G481" s="68" t="s">
        <v>62</v>
      </c>
    </row>
    <row r="482">
      <c r="A482" s="53"/>
      <c r="B482" s="53"/>
      <c r="C482" s="53"/>
      <c r="D482" s="53"/>
      <c r="E482" s="53"/>
      <c r="F482" s="53"/>
      <c r="G482" s="68" t="s">
        <v>62</v>
      </c>
    </row>
    <row r="483">
      <c r="A483" s="53"/>
      <c r="B483" s="53"/>
      <c r="C483" s="53"/>
      <c r="D483" s="53"/>
      <c r="E483" s="53"/>
      <c r="F483" s="53"/>
      <c r="G483" s="68" t="s">
        <v>62</v>
      </c>
    </row>
    <row r="484">
      <c r="A484" s="53"/>
      <c r="B484" s="53"/>
      <c r="C484" s="53"/>
      <c r="D484" s="53"/>
      <c r="E484" s="53"/>
      <c r="F484" s="53"/>
      <c r="G484" s="68" t="s">
        <v>62</v>
      </c>
    </row>
    <row r="485">
      <c r="A485" s="53"/>
      <c r="B485" s="53"/>
      <c r="C485" s="53"/>
      <c r="D485" s="53"/>
      <c r="E485" s="53"/>
      <c r="F485" s="53"/>
      <c r="G485" s="68" t="s">
        <v>62</v>
      </c>
    </row>
    <row r="486">
      <c r="A486" s="53"/>
      <c r="B486" s="53"/>
      <c r="C486" s="53"/>
      <c r="D486" s="53"/>
      <c r="E486" s="53"/>
      <c r="F486" s="53"/>
      <c r="G486" s="68" t="s">
        <v>62</v>
      </c>
    </row>
    <row r="487">
      <c r="A487" s="53"/>
      <c r="B487" s="53"/>
      <c r="C487" s="53"/>
      <c r="D487" s="53"/>
      <c r="E487" s="53"/>
      <c r="F487" s="53"/>
      <c r="G487" s="68" t="s">
        <v>62</v>
      </c>
    </row>
    <row r="488">
      <c r="A488" s="53"/>
      <c r="B488" s="53"/>
      <c r="C488" s="53"/>
      <c r="D488" s="53"/>
      <c r="E488" s="53"/>
      <c r="F488" s="53"/>
      <c r="G488" s="68" t="s">
        <v>62</v>
      </c>
    </row>
    <row r="489">
      <c r="A489" s="53"/>
      <c r="B489" s="53"/>
      <c r="C489" s="53"/>
      <c r="D489" s="53"/>
      <c r="E489" s="53"/>
      <c r="F489" s="53"/>
      <c r="G489" s="68" t="s">
        <v>62</v>
      </c>
    </row>
    <row r="490">
      <c r="A490" s="53"/>
      <c r="B490" s="53"/>
      <c r="C490" s="53"/>
      <c r="D490" s="53"/>
      <c r="E490" s="53"/>
      <c r="F490" s="53"/>
      <c r="G490" s="68" t="s">
        <v>62</v>
      </c>
    </row>
    <row r="491">
      <c r="A491" s="53"/>
      <c r="B491" s="53"/>
      <c r="C491" s="53"/>
      <c r="D491" s="53"/>
      <c r="E491" s="53"/>
      <c r="F491" s="53"/>
      <c r="G491" s="68" t="s">
        <v>62</v>
      </c>
    </row>
    <row r="492">
      <c r="A492" s="53"/>
      <c r="B492" s="53"/>
      <c r="C492" s="53"/>
      <c r="D492" s="53"/>
      <c r="E492" s="53"/>
      <c r="F492" s="53"/>
      <c r="G492" s="68" t="s">
        <v>62</v>
      </c>
    </row>
    <row r="493">
      <c r="A493" s="53"/>
      <c r="B493" s="53"/>
      <c r="C493" s="53"/>
      <c r="D493" s="53"/>
      <c r="E493" s="53"/>
      <c r="F493" s="53"/>
      <c r="G493" s="68" t="s">
        <v>62</v>
      </c>
    </row>
    <row r="494">
      <c r="A494" s="53"/>
      <c r="B494" s="53"/>
      <c r="C494" s="53"/>
      <c r="D494" s="53"/>
      <c r="E494" s="53"/>
      <c r="F494" s="53"/>
      <c r="G494" s="68" t="s">
        <v>62</v>
      </c>
    </row>
    <row r="495">
      <c r="A495" s="53"/>
      <c r="B495" s="53"/>
      <c r="C495" s="53"/>
      <c r="D495" s="53"/>
      <c r="E495" s="53"/>
      <c r="F495" s="53"/>
      <c r="G495" s="68" t="s">
        <v>62</v>
      </c>
    </row>
    <row r="496">
      <c r="A496" s="53"/>
      <c r="B496" s="53"/>
      <c r="C496" s="53"/>
      <c r="D496" s="53"/>
      <c r="E496" s="53"/>
      <c r="F496" s="53"/>
      <c r="G496" s="68" t="s">
        <v>62</v>
      </c>
    </row>
    <row r="497">
      <c r="A497" s="53"/>
      <c r="B497" s="53"/>
      <c r="C497" s="53"/>
      <c r="D497" s="53"/>
      <c r="E497" s="53"/>
      <c r="F497" s="53"/>
      <c r="G497" s="68" t="s">
        <v>62</v>
      </c>
    </row>
    <row r="498">
      <c r="A498" s="53"/>
      <c r="B498" s="53"/>
      <c r="C498" s="53"/>
      <c r="D498" s="53"/>
      <c r="E498" s="53"/>
      <c r="F498" s="53"/>
      <c r="G498" s="68" t="s">
        <v>62</v>
      </c>
    </row>
    <row r="499">
      <c r="A499" s="53"/>
      <c r="B499" s="53"/>
      <c r="C499" s="53"/>
      <c r="D499" s="53"/>
      <c r="E499" s="53"/>
      <c r="F499" s="53"/>
      <c r="G499" s="68" t="s">
        <v>62</v>
      </c>
    </row>
    <row r="500">
      <c r="A500" s="53"/>
      <c r="B500" s="53"/>
      <c r="C500" s="53"/>
      <c r="D500" s="53"/>
      <c r="E500" s="53"/>
      <c r="F500" s="53"/>
      <c r="G500" s="68" t="s">
        <v>62</v>
      </c>
    </row>
    <row r="501">
      <c r="A501" s="53"/>
      <c r="B501" s="53"/>
      <c r="C501" s="53"/>
      <c r="D501" s="53"/>
      <c r="E501" s="53"/>
      <c r="F501" s="53"/>
      <c r="G501" s="68" t="s">
        <v>62</v>
      </c>
    </row>
    <row r="502">
      <c r="A502" s="53"/>
      <c r="B502" s="53"/>
      <c r="C502" s="53"/>
      <c r="D502" s="53"/>
      <c r="E502" s="53"/>
      <c r="F502" s="53"/>
      <c r="G502" s="68" t="s">
        <v>62</v>
      </c>
    </row>
    <row r="503">
      <c r="A503" s="53"/>
      <c r="B503" s="53"/>
      <c r="C503" s="53"/>
      <c r="D503" s="53"/>
      <c r="E503" s="53"/>
      <c r="F503" s="53"/>
      <c r="G503" s="68" t="s">
        <v>62</v>
      </c>
    </row>
    <row r="504">
      <c r="A504" s="53"/>
      <c r="B504" s="53"/>
      <c r="C504" s="53"/>
      <c r="D504" s="53"/>
      <c r="E504" s="53"/>
      <c r="F504" s="53"/>
      <c r="G504" s="68" t="s">
        <v>62</v>
      </c>
    </row>
    <row r="505">
      <c r="A505" s="53"/>
      <c r="B505" s="53"/>
      <c r="C505" s="53"/>
      <c r="D505" s="53"/>
      <c r="E505" s="53"/>
      <c r="F505" s="53"/>
      <c r="G505" s="68" t="s">
        <v>62</v>
      </c>
    </row>
    <row r="506">
      <c r="A506" s="53"/>
      <c r="B506" s="53"/>
      <c r="C506" s="53"/>
      <c r="D506" s="53"/>
      <c r="E506" s="53"/>
      <c r="F506" s="53"/>
      <c r="G506" s="68" t="s">
        <v>62</v>
      </c>
    </row>
    <row r="507">
      <c r="A507" s="53"/>
      <c r="B507" s="53"/>
      <c r="C507" s="53"/>
      <c r="D507" s="53"/>
      <c r="E507" s="53"/>
      <c r="F507" s="53"/>
      <c r="G507" s="68" t="s">
        <v>62</v>
      </c>
    </row>
    <row r="508">
      <c r="A508" s="53"/>
      <c r="B508" s="53"/>
      <c r="C508" s="53"/>
      <c r="D508" s="53"/>
      <c r="E508" s="53"/>
      <c r="F508" s="53"/>
      <c r="G508" s="68" t="s">
        <v>62</v>
      </c>
    </row>
    <row r="509">
      <c r="A509" s="53"/>
      <c r="B509" s="53"/>
      <c r="C509" s="53"/>
      <c r="D509" s="53"/>
      <c r="E509" s="53"/>
      <c r="F509" s="53"/>
      <c r="G509" s="68" t="s">
        <v>62</v>
      </c>
    </row>
    <row r="510">
      <c r="A510" s="53"/>
      <c r="B510" s="53"/>
      <c r="C510" s="53"/>
      <c r="D510" s="53"/>
      <c r="E510" s="53"/>
      <c r="F510" s="53"/>
      <c r="G510" s="68" t="s">
        <v>62</v>
      </c>
    </row>
    <row r="511">
      <c r="A511" s="53"/>
      <c r="B511" s="53"/>
      <c r="C511" s="53"/>
      <c r="D511" s="53"/>
      <c r="E511" s="53"/>
      <c r="F511" s="53"/>
      <c r="G511" s="68" t="s">
        <v>62</v>
      </c>
    </row>
    <row r="512">
      <c r="A512" s="53"/>
      <c r="B512" s="53"/>
      <c r="C512" s="53"/>
      <c r="D512" s="53"/>
      <c r="E512" s="53"/>
      <c r="F512" s="53"/>
      <c r="G512" s="68" t="s">
        <v>62</v>
      </c>
    </row>
    <row r="513">
      <c r="A513" s="53"/>
      <c r="B513" s="53"/>
      <c r="C513" s="53"/>
      <c r="D513" s="53"/>
      <c r="E513" s="53"/>
      <c r="F513" s="53"/>
      <c r="G513" s="68" t="s">
        <v>62</v>
      </c>
    </row>
    <row r="514">
      <c r="A514" s="53"/>
      <c r="B514" s="53"/>
      <c r="C514" s="53"/>
      <c r="D514" s="53"/>
      <c r="E514" s="53"/>
      <c r="F514" s="53"/>
      <c r="G514" s="68" t="s">
        <v>62</v>
      </c>
    </row>
    <row r="515">
      <c r="A515" s="53"/>
      <c r="B515" s="53"/>
      <c r="C515" s="53"/>
      <c r="D515" s="53"/>
      <c r="E515" s="53"/>
      <c r="F515" s="53"/>
      <c r="G515" s="68" t="s">
        <v>62</v>
      </c>
    </row>
    <row r="516">
      <c r="A516" s="53"/>
      <c r="B516" s="53"/>
      <c r="C516" s="53"/>
      <c r="D516" s="53"/>
      <c r="E516" s="53"/>
      <c r="F516" s="53"/>
      <c r="G516" s="68" t="s">
        <v>62</v>
      </c>
    </row>
    <row r="517">
      <c r="A517" s="53"/>
      <c r="B517" s="53"/>
      <c r="C517" s="53"/>
      <c r="D517" s="53"/>
      <c r="E517" s="53"/>
      <c r="F517" s="53"/>
      <c r="G517" s="68" t="s">
        <v>62</v>
      </c>
    </row>
    <row r="518">
      <c r="A518" s="53"/>
      <c r="B518" s="53"/>
      <c r="C518" s="53"/>
      <c r="D518" s="53"/>
      <c r="E518" s="53"/>
      <c r="F518" s="53"/>
      <c r="G518" s="68" t="s">
        <v>62</v>
      </c>
    </row>
    <row r="519">
      <c r="A519" s="53"/>
      <c r="B519" s="53"/>
      <c r="C519" s="53"/>
      <c r="D519" s="53"/>
      <c r="E519" s="53"/>
      <c r="F519" s="53"/>
      <c r="G519" s="68" t="s">
        <v>62</v>
      </c>
    </row>
    <row r="520">
      <c r="A520" s="53"/>
      <c r="B520" s="53"/>
      <c r="C520" s="53"/>
      <c r="D520" s="53"/>
      <c r="E520" s="53"/>
      <c r="F520" s="53"/>
      <c r="G520" s="68" t="s">
        <v>62</v>
      </c>
    </row>
    <row r="521">
      <c r="A521" s="53"/>
      <c r="B521" s="53"/>
      <c r="C521" s="53"/>
      <c r="D521" s="53"/>
      <c r="E521" s="53"/>
      <c r="F521" s="53"/>
      <c r="G521" s="68" t="s">
        <v>62</v>
      </c>
    </row>
    <row r="522">
      <c r="A522" s="53"/>
      <c r="B522" s="53"/>
      <c r="C522" s="53"/>
      <c r="D522" s="53"/>
      <c r="E522" s="53"/>
      <c r="F522" s="53"/>
      <c r="G522" s="68" t="s">
        <v>62</v>
      </c>
    </row>
    <row r="523">
      <c r="A523" s="53"/>
      <c r="B523" s="53"/>
      <c r="C523" s="53"/>
      <c r="D523" s="53"/>
      <c r="E523" s="53"/>
      <c r="F523" s="53"/>
      <c r="G523" s="68" t="s">
        <v>62</v>
      </c>
    </row>
    <row r="524">
      <c r="A524" s="53"/>
      <c r="B524" s="53"/>
      <c r="C524" s="53"/>
      <c r="D524" s="53"/>
      <c r="E524" s="53"/>
      <c r="F524" s="53"/>
      <c r="G524" s="68" t="s">
        <v>62</v>
      </c>
    </row>
    <row r="525">
      <c r="A525" s="53"/>
      <c r="B525" s="53"/>
      <c r="C525" s="53"/>
      <c r="D525" s="53"/>
      <c r="E525" s="53"/>
      <c r="F525" s="53"/>
      <c r="G525" s="68" t="s">
        <v>62</v>
      </c>
    </row>
    <row r="526">
      <c r="A526" s="53"/>
      <c r="B526" s="53"/>
      <c r="C526" s="53"/>
      <c r="D526" s="53"/>
      <c r="E526" s="53"/>
      <c r="F526" s="53"/>
      <c r="G526" s="68" t="s">
        <v>62</v>
      </c>
    </row>
    <row r="527">
      <c r="A527" s="53"/>
      <c r="B527" s="53"/>
      <c r="C527" s="53"/>
      <c r="D527" s="53"/>
      <c r="E527" s="53"/>
      <c r="F527" s="53"/>
      <c r="G527" s="68" t="s">
        <v>62</v>
      </c>
    </row>
    <row r="528">
      <c r="A528" s="53"/>
      <c r="B528" s="53"/>
      <c r="C528" s="53"/>
      <c r="D528" s="53"/>
      <c r="E528" s="53"/>
      <c r="F528" s="53"/>
      <c r="G528" s="68" t="s">
        <v>62</v>
      </c>
    </row>
    <row r="529">
      <c r="A529" s="53"/>
      <c r="B529" s="53"/>
      <c r="C529" s="53"/>
      <c r="D529" s="53"/>
      <c r="E529" s="53"/>
      <c r="F529" s="53"/>
      <c r="G529" s="68" t="s">
        <v>62</v>
      </c>
    </row>
    <row r="530">
      <c r="A530" s="53"/>
      <c r="B530" s="53"/>
      <c r="C530" s="53"/>
      <c r="D530" s="53"/>
      <c r="E530" s="53"/>
      <c r="F530" s="53"/>
      <c r="G530" s="68" t="s">
        <v>62</v>
      </c>
    </row>
    <row r="531">
      <c r="A531" s="53"/>
      <c r="B531" s="53"/>
      <c r="C531" s="53"/>
      <c r="D531" s="53"/>
      <c r="E531" s="53"/>
      <c r="F531" s="53"/>
      <c r="G531" s="68" t="s">
        <v>62</v>
      </c>
    </row>
    <row r="532">
      <c r="A532" s="53"/>
      <c r="B532" s="53"/>
      <c r="C532" s="53"/>
      <c r="D532" s="53"/>
      <c r="E532" s="53"/>
      <c r="F532" s="53"/>
      <c r="G532" s="68" t="s">
        <v>62</v>
      </c>
    </row>
    <row r="533">
      <c r="A533" s="53"/>
      <c r="B533" s="53"/>
      <c r="C533" s="53"/>
      <c r="D533" s="53"/>
      <c r="E533" s="53"/>
      <c r="F533" s="53"/>
      <c r="G533" s="68" t="s">
        <v>62</v>
      </c>
    </row>
    <row r="534">
      <c r="A534" s="53"/>
      <c r="B534" s="53"/>
      <c r="C534" s="53"/>
      <c r="D534" s="53"/>
      <c r="E534" s="53"/>
      <c r="F534" s="53"/>
      <c r="G534" s="68" t="s">
        <v>62</v>
      </c>
    </row>
    <row r="535">
      <c r="A535" s="53"/>
      <c r="B535" s="53"/>
      <c r="C535" s="53"/>
      <c r="D535" s="53"/>
      <c r="E535" s="53"/>
      <c r="F535" s="53"/>
      <c r="G535" s="68" t="s">
        <v>62</v>
      </c>
    </row>
    <row r="536">
      <c r="A536" s="53"/>
      <c r="B536" s="53"/>
      <c r="C536" s="53"/>
      <c r="D536" s="53"/>
      <c r="E536" s="53"/>
      <c r="F536" s="53"/>
      <c r="G536" s="68" t="s">
        <v>62</v>
      </c>
    </row>
    <row r="537">
      <c r="A537" s="53"/>
      <c r="B537" s="53"/>
      <c r="C537" s="53"/>
      <c r="D537" s="53"/>
      <c r="E537" s="53"/>
      <c r="F537" s="53"/>
      <c r="G537" s="68" t="s">
        <v>62</v>
      </c>
    </row>
    <row r="538">
      <c r="A538" s="53"/>
      <c r="B538" s="53"/>
      <c r="C538" s="53"/>
      <c r="D538" s="53"/>
      <c r="E538" s="53"/>
      <c r="F538" s="53"/>
      <c r="G538" s="68" t="s">
        <v>62</v>
      </c>
    </row>
    <row r="539">
      <c r="A539" s="53"/>
      <c r="B539" s="53"/>
      <c r="G539" s="68" t="s">
        <v>62</v>
      </c>
    </row>
    <row r="540">
      <c r="A540" s="53"/>
      <c r="B540" s="53"/>
      <c r="G540" s="68" t="s">
        <v>62</v>
      </c>
    </row>
    <row r="541">
      <c r="A541" s="53"/>
      <c r="B541" s="53"/>
      <c r="G541" s="68" t="s">
        <v>62</v>
      </c>
    </row>
    <row r="542">
      <c r="A542" s="53"/>
      <c r="B542" s="53"/>
      <c r="G542" s="68" t="s">
        <v>62</v>
      </c>
    </row>
    <row r="543">
      <c r="A543" s="53"/>
      <c r="B543" s="53"/>
      <c r="G543" s="68" t="s">
        <v>62</v>
      </c>
    </row>
    <row r="544">
      <c r="A544" s="53"/>
      <c r="B544" s="53"/>
      <c r="G544" s="68" t="s">
        <v>62</v>
      </c>
    </row>
    <row r="545">
      <c r="A545" s="53"/>
      <c r="B545" s="53"/>
      <c r="G545" s="68" t="s">
        <v>62</v>
      </c>
    </row>
    <row r="546">
      <c r="A546" s="53"/>
      <c r="B546" s="53"/>
      <c r="G546" s="68" t="s">
        <v>62</v>
      </c>
    </row>
    <row r="547">
      <c r="A547" s="53"/>
      <c r="B547" s="53"/>
      <c r="G547" s="68" t="s">
        <v>62</v>
      </c>
    </row>
    <row r="548">
      <c r="A548" s="53"/>
      <c r="B548" s="53"/>
      <c r="G548" s="68" t="s">
        <v>62</v>
      </c>
    </row>
    <row r="549">
      <c r="A549" s="53"/>
      <c r="B549" s="53"/>
      <c r="G549" s="68" t="s">
        <v>62</v>
      </c>
    </row>
    <row r="550">
      <c r="A550" s="53"/>
      <c r="B550" s="53"/>
      <c r="G550" s="68" t="s">
        <v>62</v>
      </c>
    </row>
    <row r="551">
      <c r="A551" s="53"/>
      <c r="B551" s="53"/>
      <c r="G551" s="68" t="s">
        <v>62</v>
      </c>
    </row>
    <row r="552">
      <c r="A552" s="53"/>
      <c r="B552" s="53"/>
      <c r="G552" s="68" t="s">
        <v>62</v>
      </c>
    </row>
    <row r="553">
      <c r="A553" s="53"/>
      <c r="B553" s="53"/>
      <c r="G553" s="68" t="s">
        <v>62</v>
      </c>
    </row>
    <row r="554">
      <c r="A554" s="53"/>
      <c r="B554" s="53"/>
      <c r="G554" s="68" t="s">
        <v>62</v>
      </c>
    </row>
    <row r="555">
      <c r="A555" s="53"/>
      <c r="B555" s="53"/>
      <c r="G555" s="68" t="s">
        <v>62</v>
      </c>
    </row>
    <row r="556">
      <c r="A556" s="53"/>
      <c r="B556" s="53"/>
      <c r="G556" s="68" t="s">
        <v>62</v>
      </c>
    </row>
    <row r="557">
      <c r="A557" s="53"/>
      <c r="B557" s="53"/>
      <c r="G557" s="68" t="s">
        <v>62</v>
      </c>
    </row>
    <row r="558">
      <c r="A558" s="53"/>
      <c r="B558" s="53"/>
      <c r="G558" s="68" t="s">
        <v>62</v>
      </c>
    </row>
    <row r="559">
      <c r="A559" s="53"/>
      <c r="B559" s="53"/>
      <c r="G559" s="68" t="s">
        <v>62</v>
      </c>
    </row>
    <row r="560">
      <c r="A560" s="53"/>
      <c r="B560" s="53"/>
      <c r="G560" s="68" t="s">
        <v>62</v>
      </c>
    </row>
    <row r="561">
      <c r="A561" s="53"/>
      <c r="B561" s="53"/>
      <c r="G561" s="68" t="s">
        <v>62</v>
      </c>
    </row>
    <row r="562">
      <c r="A562" s="53"/>
      <c r="B562" s="53"/>
      <c r="G562" s="68" t="s">
        <v>62</v>
      </c>
    </row>
    <row r="563">
      <c r="A563" s="53"/>
      <c r="B563" s="53"/>
      <c r="G563" s="68" t="s">
        <v>62</v>
      </c>
    </row>
    <row r="564">
      <c r="A564" s="53"/>
      <c r="B564" s="53"/>
      <c r="G564" s="68" t="s">
        <v>62</v>
      </c>
    </row>
    <row r="565">
      <c r="A565" s="53"/>
      <c r="B565" s="53"/>
      <c r="G565" s="68" t="s">
        <v>62</v>
      </c>
    </row>
    <row r="566">
      <c r="A566" s="53"/>
      <c r="B566" s="53"/>
      <c r="G566" s="68" t="s">
        <v>62</v>
      </c>
    </row>
    <row r="567">
      <c r="A567" s="53"/>
      <c r="B567" s="53"/>
      <c r="G567" s="68" t="s">
        <v>62</v>
      </c>
    </row>
    <row r="568">
      <c r="A568" s="53"/>
      <c r="B568" s="53"/>
      <c r="G568" s="68" t="s">
        <v>62</v>
      </c>
    </row>
    <row r="569">
      <c r="A569" s="53"/>
      <c r="B569" s="53"/>
      <c r="G569" s="68" t="s">
        <v>62</v>
      </c>
    </row>
    <row r="570">
      <c r="A570" s="53"/>
      <c r="B570" s="53"/>
      <c r="G570" s="68" t="s">
        <v>62</v>
      </c>
    </row>
    <row r="571">
      <c r="A571" s="53"/>
      <c r="B571" s="53"/>
      <c r="G571" s="68" t="s">
        <v>62</v>
      </c>
    </row>
    <row r="572">
      <c r="A572" s="53"/>
      <c r="B572" s="53"/>
      <c r="G572" s="68" t="s">
        <v>62</v>
      </c>
    </row>
    <row r="573">
      <c r="A573" s="53"/>
      <c r="B573" s="53"/>
      <c r="G573" s="68" t="s">
        <v>62</v>
      </c>
    </row>
    <row r="574">
      <c r="A574" s="53"/>
      <c r="B574" s="53"/>
      <c r="G574" s="68" t="s">
        <v>62</v>
      </c>
    </row>
    <row r="575">
      <c r="A575" s="53"/>
      <c r="B575" s="53"/>
      <c r="G575" s="68" t="s">
        <v>62</v>
      </c>
    </row>
    <row r="576">
      <c r="A576" s="53"/>
      <c r="B576" s="53"/>
      <c r="G576" s="68" t="s">
        <v>62</v>
      </c>
    </row>
    <row r="577">
      <c r="A577" s="53"/>
      <c r="B577" s="53"/>
      <c r="G577" s="68" t="s">
        <v>62</v>
      </c>
    </row>
    <row r="578">
      <c r="A578" s="53"/>
      <c r="B578" s="53"/>
      <c r="G578" s="68" t="s">
        <v>62</v>
      </c>
    </row>
    <row r="579">
      <c r="A579" s="53"/>
      <c r="B579" s="53"/>
      <c r="G579" s="68" t="s">
        <v>62</v>
      </c>
    </row>
    <row r="580">
      <c r="A580" s="53"/>
      <c r="B580" s="53"/>
      <c r="G580" s="68" t="s">
        <v>62</v>
      </c>
    </row>
    <row r="581">
      <c r="A581" s="53"/>
      <c r="B581" s="53"/>
      <c r="G581" s="68" t="s">
        <v>62</v>
      </c>
    </row>
    <row r="582">
      <c r="A582" s="53"/>
      <c r="B582" s="53"/>
      <c r="G582" s="68" t="s">
        <v>62</v>
      </c>
    </row>
    <row r="583">
      <c r="A583" s="53"/>
      <c r="B583" s="53"/>
      <c r="G583" s="68" t="s">
        <v>62</v>
      </c>
    </row>
    <row r="584">
      <c r="A584" s="53"/>
      <c r="B584" s="53"/>
      <c r="G584" s="68" t="s">
        <v>62</v>
      </c>
    </row>
    <row r="585">
      <c r="A585" s="53"/>
      <c r="B585" s="53"/>
      <c r="G585" s="68" t="s">
        <v>62</v>
      </c>
    </row>
    <row r="586">
      <c r="A586" s="53"/>
      <c r="B586" s="53"/>
      <c r="G586" s="68" t="s">
        <v>62</v>
      </c>
    </row>
    <row r="587">
      <c r="A587" s="53"/>
      <c r="B587" s="53"/>
      <c r="G587" s="68" t="s">
        <v>62</v>
      </c>
    </row>
    <row r="588">
      <c r="A588" s="53"/>
      <c r="B588" s="53"/>
      <c r="G588" s="68" t="s">
        <v>62</v>
      </c>
    </row>
    <row r="589">
      <c r="A589" s="53"/>
      <c r="B589" s="53"/>
      <c r="G589" s="68" t="s">
        <v>62</v>
      </c>
    </row>
    <row r="590">
      <c r="A590" s="53"/>
      <c r="B590" s="53"/>
      <c r="G590" s="68" t="s">
        <v>62</v>
      </c>
    </row>
    <row r="591">
      <c r="A591" s="53"/>
      <c r="B591" s="53"/>
      <c r="G591" s="68" t="s">
        <v>62</v>
      </c>
    </row>
    <row r="592">
      <c r="A592" s="53"/>
      <c r="B592" s="53"/>
      <c r="G592" s="68" t="s">
        <v>62</v>
      </c>
    </row>
    <row r="593">
      <c r="A593" s="53"/>
      <c r="B593" s="53"/>
      <c r="G593" s="68" t="s">
        <v>62</v>
      </c>
    </row>
    <row r="594">
      <c r="A594" s="53"/>
      <c r="B594" s="53"/>
      <c r="G594" s="68" t="s">
        <v>62</v>
      </c>
    </row>
    <row r="595">
      <c r="A595" s="53"/>
      <c r="B595" s="53"/>
      <c r="G595" s="68" t="s">
        <v>62</v>
      </c>
    </row>
    <row r="596">
      <c r="A596" s="53"/>
      <c r="B596" s="53"/>
      <c r="G596" s="68" t="s">
        <v>62</v>
      </c>
    </row>
    <row r="597">
      <c r="A597" s="53"/>
      <c r="B597" s="53"/>
      <c r="G597" s="68" t="s">
        <v>62</v>
      </c>
    </row>
    <row r="598">
      <c r="A598" s="53"/>
      <c r="B598" s="53"/>
      <c r="G598" s="68" t="s">
        <v>62</v>
      </c>
    </row>
    <row r="599">
      <c r="A599" s="53"/>
      <c r="B599" s="53"/>
      <c r="G599" s="68" t="s">
        <v>62</v>
      </c>
    </row>
    <row r="600">
      <c r="A600" s="53"/>
      <c r="B600" s="53"/>
      <c r="G600" s="68" t="s">
        <v>62</v>
      </c>
    </row>
    <row r="601">
      <c r="A601" s="53"/>
      <c r="B601" s="53"/>
      <c r="G601" s="68" t="s">
        <v>62</v>
      </c>
    </row>
    <row r="602">
      <c r="A602" s="53"/>
      <c r="B602" s="53"/>
      <c r="G602" s="68" t="s">
        <v>62</v>
      </c>
    </row>
    <row r="603">
      <c r="A603" s="53"/>
      <c r="B603" s="53"/>
      <c r="G603" s="68" t="s">
        <v>62</v>
      </c>
    </row>
    <row r="604">
      <c r="A604" s="53"/>
      <c r="B604" s="53"/>
      <c r="G604" s="68" t="s">
        <v>62</v>
      </c>
    </row>
    <row r="605">
      <c r="A605" s="53"/>
      <c r="B605" s="53"/>
      <c r="G605" s="68" t="s">
        <v>62</v>
      </c>
    </row>
    <row r="606">
      <c r="A606" s="53"/>
      <c r="B606" s="53"/>
      <c r="G606" s="68" t="s">
        <v>62</v>
      </c>
    </row>
    <row r="607">
      <c r="A607" s="53"/>
      <c r="B607" s="53"/>
      <c r="G607" s="68" t="s">
        <v>62</v>
      </c>
    </row>
    <row r="608">
      <c r="A608" s="53"/>
      <c r="B608" s="53"/>
      <c r="G608" s="68" t="s">
        <v>62</v>
      </c>
    </row>
    <row r="609">
      <c r="A609" s="53"/>
      <c r="B609" s="53"/>
      <c r="G609" s="68" t="s">
        <v>62</v>
      </c>
    </row>
    <row r="610">
      <c r="A610" s="53"/>
      <c r="B610" s="53"/>
      <c r="G610" s="68" t="s">
        <v>62</v>
      </c>
    </row>
    <row r="611">
      <c r="A611" s="53"/>
      <c r="B611" s="53"/>
      <c r="G611" s="68" t="s">
        <v>62</v>
      </c>
    </row>
    <row r="612">
      <c r="A612" s="53"/>
      <c r="B612" s="53"/>
      <c r="G612" s="68" t="s">
        <v>62</v>
      </c>
    </row>
    <row r="613">
      <c r="A613" s="53"/>
      <c r="B613" s="53"/>
      <c r="G613" s="68" t="s">
        <v>62</v>
      </c>
    </row>
    <row r="614">
      <c r="A614" s="53"/>
      <c r="B614" s="53"/>
      <c r="G614" s="68" t="s">
        <v>62</v>
      </c>
    </row>
    <row r="615">
      <c r="A615" s="53"/>
      <c r="B615" s="53"/>
      <c r="G615" s="68" t="s">
        <v>62</v>
      </c>
    </row>
    <row r="616">
      <c r="A616" s="53"/>
      <c r="B616" s="53"/>
      <c r="G616" s="68" t="s">
        <v>62</v>
      </c>
    </row>
    <row r="617">
      <c r="A617" s="53"/>
      <c r="B617" s="53"/>
      <c r="G617" s="68" t="s">
        <v>62</v>
      </c>
    </row>
    <row r="618">
      <c r="A618" s="53"/>
      <c r="B618" s="53"/>
      <c r="G618" s="68" t="s">
        <v>62</v>
      </c>
    </row>
    <row r="619">
      <c r="A619" s="53"/>
      <c r="B619" s="53"/>
      <c r="G619" s="68" t="s">
        <v>62</v>
      </c>
    </row>
    <row r="620">
      <c r="A620" s="53"/>
      <c r="B620" s="53"/>
      <c r="G620" s="68" t="s">
        <v>62</v>
      </c>
    </row>
    <row r="621">
      <c r="A621" s="53"/>
      <c r="B621" s="53"/>
      <c r="G621" s="68" t="s">
        <v>62</v>
      </c>
    </row>
    <row r="622">
      <c r="A622" s="53"/>
      <c r="B622" s="53"/>
      <c r="G622" s="68" t="s">
        <v>62</v>
      </c>
    </row>
    <row r="623">
      <c r="A623" s="53"/>
      <c r="B623" s="53"/>
      <c r="G623" s="68" t="s">
        <v>62</v>
      </c>
    </row>
    <row r="624">
      <c r="A624" s="53"/>
      <c r="B624" s="53"/>
      <c r="G624" s="68" t="s">
        <v>62</v>
      </c>
    </row>
    <row r="625">
      <c r="A625" s="53"/>
      <c r="B625" s="53"/>
      <c r="G625" s="68" t="s">
        <v>62</v>
      </c>
    </row>
    <row r="626">
      <c r="A626" s="53"/>
      <c r="B626" s="53"/>
      <c r="G626" s="68" t="s">
        <v>62</v>
      </c>
    </row>
    <row r="627">
      <c r="A627" s="53"/>
      <c r="B627" s="53"/>
      <c r="G627" s="68" t="s">
        <v>62</v>
      </c>
    </row>
    <row r="628">
      <c r="A628" s="53"/>
      <c r="B628" s="53"/>
      <c r="G628" s="68" t="s">
        <v>62</v>
      </c>
    </row>
    <row r="629">
      <c r="A629" s="53"/>
      <c r="B629" s="53"/>
      <c r="G629" s="68" t="s">
        <v>62</v>
      </c>
    </row>
    <row r="630">
      <c r="A630" s="53"/>
      <c r="B630" s="53"/>
      <c r="G630" s="68" t="s">
        <v>62</v>
      </c>
    </row>
    <row r="631">
      <c r="A631" s="53"/>
      <c r="B631" s="53"/>
      <c r="G631" s="68" t="s">
        <v>62</v>
      </c>
    </row>
    <row r="632">
      <c r="A632" s="53"/>
      <c r="B632" s="53"/>
      <c r="G632" s="68" t="s">
        <v>62</v>
      </c>
    </row>
    <row r="633">
      <c r="A633" s="53"/>
      <c r="B633" s="53"/>
      <c r="G633" s="68" t="s">
        <v>62</v>
      </c>
    </row>
    <row r="634">
      <c r="A634" s="53"/>
      <c r="B634" s="53"/>
      <c r="G634" s="68" t="s">
        <v>62</v>
      </c>
    </row>
    <row r="635">
      <c r="A635" s="53"/>
      <c r="B635" s="53"/>
      <c r="G635" s="68" t="s">
        <v>62</v>
      </c>
    </row>
    <row r="636">
      <c r="A636" s="53"/>
      <c r="B636" s="53"/>
      <c r="G636" s="68" t="s">
        <v>62</v>
      </c>
    </row>
    <row r="637">
      <c r="A637" s="53"/>
      <c r="B637" s="53"/>
      <c r="G637" s="68" t="s">
        <v>62</v>
      </c>
    </row>
    <row r="638">
      <c r="A638" s="53"/>
      <c r="B638" s="53"/>
      <c r="G638" s="68" t="s">
        <v>62</v>
      </c>
    </row>
    <row r="639">
      <c r="A639" s="53"/>
      <c r="B639" s="53"/>
      <c r="G639" s="68" t="s">
        <v>62</v>
      </c>
    </row>
    <row r="640">
      <c r="A640" s="53"/>
      <c r="B640" s="53"/>
      <c r="G640" s="68" t="s">
        <v>62</v>
      </c>
    </row>
    <row r="641">
      <c r="A641" s="53"/>
      <c r="B641" s="53"/>
      <c r="G641" s="68" t="s">
        <v>62</v>
      </c>
    </row>
    <row r="642">
      <c r="A642" s="53"/>
      <c r="B642" s="53"/>
      <c r="G642" s="68" t="s">
        <v>62</v>
      </c>
    </row>
    <row r="643">
      <c r="A643" s="53"/>
      <c r="B643" s="53"/>
      <c r="G643" s="68" t="s">
        <v>62</v>
      </c>
    </row>
    <row r="644">
      <c r="A644" s="53"/>
      <c r="B644" s="53"/>
      <c r="G644" s="68" t="s">
        <v>62</v>
      </c>
    </row>
    <row r="645">
      <c r="A645" s="53"/>
      <c r="B645" s="53"/>
      <c r="G645" s="68" t="s">
        <v>62</v>
      </c>
    </row>
    <row r="646">
      <c r="A646" s="53"/>
      <c r="B646" s="53"/>
      <c r="G646" s="68" t="s">
        <v>62</v>
      </c>
    </row>
    <row r="647">
      <c r="A647" s="53"/>
      <c r="B647" s="53"/>
      <c r="G647" s="68" t="s">
        <v>62</v>
      </c>
    </row>
    <row r="648">
      <c r="A648" s="53"/>
      <c r="B648" s="53"/>
      <c r="G648" s="68" t="s">
        <v>62</v>
      </c>
    </row>
    <row r="649">
      <c r="A649" s="53"/>
      <c r="B649" s="53"/>
      <c r="G649" s="68" t="s">
        <v>62</v>
      </c>
    </row>
    <row r="650">
      <c r="A650" s="53"/>
      <c r="B650" s="53"/>
      <c r="G650" s="68" t="s">
        <v>62</v>
      </c>
    </row>
    <row r="651">
      <c r="A651" s="53"/>
      <c r="B651" s="53"/>
      <c r="G651" s="68" t="s">
        <v>62</v>
      </c>
    </row>
    <row r="652">
      <c r="A652" s="53"/>
      <c r="B652" s="53"/>
      <c r="G652" s="68" t="s">
        <v>62</v>
      </c>
    </row>
    <row r="653">
      <c r="A653" s="53"/>
      <c r="B653" s="53"/>
      <c r="G653" s="68" t="s">
        <v>62</v>
      </c>
    </row>
    <row r="654">
      <c r="A654" s="53"/>
      <c r="B654" s="53"/>
      <c r="G654" s="68" t="s">
        <v>62</v>
      </c>
    </row>
    <row r="655">
      <c r="A655" s="53"/>
      <c r="B655" s="53"/>
      <c r="G655" s="68" t="s">
        <v>62</v>
      </c>
    </row>
    <row r="656">
      <c r="A656" s="53"/>
      <c r="B656" s="53"/>
      <c r="G656" s="68" t="s">
        <v>62</v>
      </c>
    </row>
    <row r="657">
      <c r="A657" s="53"/>
      <c r="B657" s="53"/>
      <c r="G657" s="68" t="s">
        <v>62</v>
      </c>
    </row>
    <row r="658">
      <c r="A658" s="53"/>
      <c r="B658" s="53"/>
      <c r="G658" s="68" t="s">
        <v>62</v>
      </c>
    </row>
    <row r="659">
      <c r="A659" s="53"/>
      <c r="B659" s="53"/>
      <c r="G659" s="68" t="s">
        <v>62</v>
      </c>
    </row>
    <row r="660">
      <c r="A660" s="53"/>
      <c r="B660" s="53"/>
      <c r="G660" s="68" t="s">
        <v>62</v>
      </c>
    </row>
    <row r="661">
      <c r="A661" s="53"/>
      <c r="B661" s="53"/>
      <c r="G661" s="68" t="s">
        <v>62</v>
      </c>
    </row>
    <row r="662">
      <c r="A662" s="53"/>
      <c r="B662" s="53"/>
      <c r="G662" s="68" t="s">
        <v>62</v>
      </c>
    </row>
    <row r="663">
      <c r="A663" s="53"/>
      <c r="B663" s="53"/>
      <c r="G663" s="68" t="s">
        <v>62</v>
      </c>
    </row>
    <row r="664">
      <c r="A664" s="53"/>
      <c r="B664" s="53"/>
      <c r="G664" s="68" t="s">
        <v>62</v>
      </c>
    </row>
    <row r="665">
      <c r="A665" s="53"/>
      <c r="B665" s="53"/>
      <c r="G665" s="68" t="s">
        <v>62</v>
      </c>
    </row>
    <row r="666">
      <c r="A666" s="53"/>
      <c r="B666" s="53"/>
      <c r="G666" s="68" t="s">
        <v>62</v>
      </c>
    </row>
    <row r="667">
      <c r="A667" s="53"/>
      <c r="B667" s="53"/>
      <c r="G667" s="68" t="s">
        <v>62</v>
      </c>
    </row>
    <row r="668">
      <c r="A668" s="53"/>
      <c r="B668" s="53"/>
      <c r="G668" s="68" t="s">
        <v>62</v>
      </c>
    </row>
    <row r="669">
      <c r="A669" s="53"/>
      <c r="B669" s="53"/>
      <c r="G669" s="68" t="s">
        <v>62</v>
      </c>
    </row>
    <row r="670">
      <c r="A670" s="53"/>
      <c r="B670" s="53"/>
      <c r="G670" s="68" t="s">
        <v>62</v>
      </c>
    </row>
    <row r="671">
      <c r="A671" s="53"/>
      <c r="B671" s="53"/>
      <c r="G671" s="68" t="s">
        <v>62</v>
      </c>
    </row>
    <row r="672">
      <c r="A672" s="53"/>
      <c r="B672" s="53"/>
      <c r="G672" s="68" t="s">
        <v>62</v>
      </c>
    </row>
    <row r="673">
      <c r="A673" s="53"/>
      <c r="B673" s="53"/>
      <c r="G673" s="68" t="s">
        <v>62</v>
      </c>
    </row>
    <row r="674">
      <c r="A674" s="53"/>
      <c r="B674" s="53"/>
      <c r="G674" s="68" t="s">
        <v>62</v>
      </c>
    </row>
    <row r="675">
      <c r="A675" s="53"/>
      <c r="B675" s="53"/>
      <c r="G675" s="68" t="s">
        <v>62</v>
      </c>
    </row>
    <row r="676">
      <c r="A676" s="53"/>
      <c r="B676" s="53"/>
      <c r="G676" s="68" t="s">
        <v>62</v>
      </c>
    </row>
    <row r="677">
      <c r="A677" s="53"/>
      <c r="B677" s="53"/>
      <c r="G677" s="68" t="s">
        <v>62</v>
      </c>
    </row>
    <row r="678">
      <c r="A678" s="53"/>
      <c r="B678" s="53"/>
      <c r="G678" s="68" t="s">
        <v>62</v>
      </c>
    </row>
    <row r="679">
      <c r="A679" s="53"/>
      <c r="B679" s="53"/>
      <c r="G679" s="68" t="s">
        <v>62</v>
      </c>
    </row>
    <row r="680">
      <c r="A680" s="53"/>
      <c r="B680" s="53"/>
      <c r="G680" s="68" t="s">
        <v>62</v>
      </c>
    </row>
    <row r="681">
      <c r="A681" s="53"/>
      <c r="B681" s="53"/>
      <c r="G681" s="68" t="s">
        <v>62</v>
      </c>
    </row>
    <row r="682">
      <c r="A682" s="53"/>
      <c r="B682" s="53"/>
      <c r="G682" s="68" t="s">
        <v>62</v>
      </c>
    </row>
    <row r="683">
      <c r="A683" s="53"/>
      <c r="B683" s="53"/>
      <c r="G683" s="68" t="s">
        <v>62</v>
      </c>
    </row>
    <row r="684">
      <c r="A684" s="53"/>
      <c r="B684" s="53"/>
      <c r="G684" s="68" t="s">
        <v>62</v>
      </c>
    </row>
    <row r="685">
      <c r="A685" s="53"/>
      <c r="B685" s="53"/>
      <c r="G685" s="68" t="s">
        <v>62</v>
      </c>
    </row>
    <row r="686">
      <c r="A686" s="53"/>
      <c r="B686" s="53"/>
      <c r="G686" s="68" t="s">
        <v>62</v>
      </c>
    </row>
    <row r="687">
      <c r="A687" s="53"/>
      <c r="B687" s="53"/>
      <c r="G687" s="68" t="s">
        <v>62</v>
      </c>
    </row>
    <row r="688">
      <c r="A688" s="53"/>
      <c r="B688" s="53"/>
      <c r="G688" s="68" t="s">
        <v>62</v>
      </c>
    </row>
    <row r="689">
      <c r="A689" s="53"/>
      <c r="B689" s="53"/>
      <c r="G689" s="68" t="s">
        <v>62</v>
      </c>
    </row>
    <row r="690">
      <c r="A690" s="53"/>
      <c r="B690" s="53"/>
      <c r="G690" s="68" t="s">
        <v>62</v>
      </c>
    </row>
    <row r="691">
      <c r="A691" s="53"/>
      <c r="B691" s="53"/>
      <c r="G691" s="68" t="s">
        <v>62</v>
      </c>
    </row>
    <row r="692">
      <c r="A692" s="53"/>
      <c r="B692" s="53"/>
      <c r="G692" s="68" t="s">
        <v>62</v>
      </c>
    </row>
    <row r="693">
      <c r="A693" s="53"/>
      <c r="B693" s="53"/>
      <c r="G693" s="68" t="s">
        <v>62</v>
      </c>
    </row>
    <row r="694">
      <c r="A694" s="53"/>
      <c r="B694" s="53"/>
      <c r="G694" s="68" t="s">
        <v>62</v>
      </c>
    </row>
    <row r="695">
      <c r="A695" s="53"/>
      <c r="B695" s="53"/>
      <c r="G695" s="68" t="s">
        <v>62</v>
      </c>
    </row>
    <row r="696">
      <c r="A696" s="53"/>
      <c r="B696" s="53"/>
      <c r="G696" s="68" t="s">
        <v>62</v>
      </c>
    </row>
    <row r="697">
      <c r="A697" s="53"/>
      <c r="B697" s="53"/>
      <c r="G697" s="68" t="s">
        <v>62</v>
      </c>
    </row>
    <row r="698">
      <c r="A698" s="53"/>
      <c r="B698" s="53"/>
      <c r="G698" s="68" t="s">
        <v>62</v>
      </c>
    </row>
    <row r="699">
      <c r="A699" s="53"/>
      <c r="B699" s="53"/>
      <c r="G699" s="68" t="s">
        <v>62</v>
      </c>
    </row>
    <row r="700">
      <c r="A700" s="53"/>
      <c r="B700" s="53"/>
      <c r="G700" s="68" t="s">
        <v>62</v>
      </c>
    </row>
    <row r="701">
      <c r="A701" s="53"/>
      <c r="B701" s="53"/>
      <c r="G701" s="68" t="s">
        <v>62</v>
      </c>
    </row>
    <row r="702">
      <c r="A702" s="53"/>
      <c r="B702" s="53"/>
      <c r="G702" s="68" t="s">
        <v>62</v>
      </c>
    </row>
    <row r="703">
      <c r="A703" s="53"/>
      <c r="B703" s="53"/>
      <c r="G703" s="68" t="s">
        <v>62</v>
      </c>
    </row>
    <row r="704">
      <c r="A704" s="53"/>
      <c r="B704" s="53"/>
      <c r="G704" s="68" t="s">
        <v>62</v>
      </c>
    </row>
    <row r="705">
      <c r="A705" s="53"/>
      <c r="B705" s="53"/>
      <c r="G705" s="68" t="s">
        <v>62</v>
      </c>
    </row>
    <row r="706">
      <c r="A706" s="53"/>
      <c r="B706" s="53"/>
      <c r="G706" s="68" t="s">
        <v>62</v>
      </c>
    </row>
    <row r="707">
      <c r="A707" s="53"/>
      <c r="B707" s="53"/>
      <c r="G707" s="68" t="s">
        <v>62</v>
      </c>
    </row>
    <row r="708">
      <c r="A708" s="53"/>
      <c r="B708" s="53"/>
      <c r="G708" s="68" t="s">
        <v>62</v>
      </c>
    </row>
    <row r="709">
      <c r="A709" s="53"/>
      <c r="B709" s="53"/>
      <c r="G709" s="68" t="s">
        <v>62</v>
      </c>
    </row>
    <row r="710">
      <c r="A710" s="53"/>
      <c r="B710" s="53"/>
      <c r="G710" s="68" t="s">
        <v>62</v>
      </c>
    </row>
    <row r="711">
      <c r="A711" s="53"/>
      <c r="B711" s="53"/>
      <c r="G711" s="68" t="s">
        <v>62</v>
      </c>
    </row>
    <row r="712">
      <c r="A712" s="53"/>
      <c r="B712" s="53"/>
      <c r="G712" s="68" t="s">
        <v>62</v>
      </c>
    </row>
    <row r="713">
      <c r="A713" s="53"/>
      <c r="B713" s="53"/>
      <c r="G713" s="68" t="s">
        <v>62</v>
      </c>
    </row>
    <row r="714">
      <c r="A714" s="53"/>
      <c r="B714" s="53"/>
      <c r="G714" s="68" t="s">
        <v>62</v>
      </c>
    </row>
    <row r="715">
      <c r="A715" s="53"/>
      <c r="B715" s="53"/>
      <c r="G715" s="68" t="s">
        <v>62</v>
      </c>
    </row>
    <row r="716">
      <c r="A716" s="53"/>
      <c r="B716" s="53"/>
      <c r="G716" s="68" t="s">
        <v>62</v>
      </c>
    </row>
    <row r="717">
      <c r="A717" s="53"/>
      <c r="B717" s="53"/>
      <c r="G717" s="68" t="s">
        <v>62</v>
      </c>
    </row>
    <row r="718">
      <c r="A718" s="53"/>
      <c r="B718" s="53"/>
      <c r="G718" s="68" t="s">
        <v>62</v>
      </c>
    </row>
    <row r="719">
      <c r="A719" s="53"/>
      <c r="B719" s="53"/>
      <c r="G719" s="68" t="s">
        <v>62</v>
      </c>
    </row>
    <row r="720">
      <c r="A720" s="53"/>
      <c r="B720" s="53"/>
      <c r="G720" s="68" t="s">
        <v>62</v>
      </c>
    </row>
    <row r="721">
      <c r="A721" s="53"/>
      <c r="B721" s="53"/>
      <c r="G721" s="68" t="s">
        <v>62</v>
      </c>
    </row>
    <row r="722">
      <c r="A722" s="53"/>
      <c r="B722" s="53"/>
      <c r="G722" s="68" t="s">
        <v>62</v>
      </c>
    </row>
    <row r="723">
      <c r="A723" s="53"/>
      <c r="B723" s="53"/>
      <c r="G723" s="68" t="s">
        <v>62</v>
      </c>
    </row>
    <row r="724">
      <c r="A724" s="53"/>
      <c r="B724" s="53"/>
      <c r="G724" s="68" t="s">
        <v>62</v>
      </c>
    </row>
    <row r="725">
      <c r="A725" s="53"/>
      <c r="B725" s="53"/>
      <c r="G725" s="68" t="s">
        <v>62</v>
      </c>
    </row>
    <row r="726">
      <c r="A726" s="53"/>
      <c r="B726" s="53"/>
      <c r="G726" s="68" t="s">
        <v>62</v>
      </c>
    </row>
    <row r="727">
      <c r="A727" s="53"/>
      <c r="B727" s="53"/>
      <c r="G727" s="68" t="s">
        <v>62</v>
      </c>
    </row>
    <row r="728">
      <c r="A728" s="53"/>
      <c r="B728" s="53"/>
      <c r="G728" s="68" t="s">
        <v>62</v>
      </c>
    </row>
    <row r="729">
      <c r="A729" s="53"/>
      <c r="B729" s="53"/>
      <c r="G729" s="68" t="s">
        <v>62</v>
      </c>
    </row>
    <row r="730">
      <c r="A730" s="53"/>
      <c r="B730" s="53"/>
      <c r="G730" s="68" t="s">
        <v>62</v>
      </c>
    </row>
    <row r="731">
      <c r="A731" s="53"/>
      <c r="B731" s="53"/>
      <c r="G731" s="68" t="s">
        <v>62</v>
      </c>
    </row>
    <row r="732">
      <c r="A732" s="53"/>
      <c r="B732" s="53"/>
      <c r="G732" s="68" t="s">
        <v>62</v>
      </c>
    </row>
    <row r="733">
      <c r="A733" s="53"/>
      <c r="B733" s="53"/>
      <c r="G733" s="68" t="s">
        <v>62</v>
      </c>
    </row>
    <row r="734">
      <c r="A734" s="53"/>
      <c r="B734" s="53"/>
      <c r="G734" s="68" t="s">
        <v>62</v>
      </c>
    </row>
    <row r="735">
      <c r="A735" s="53"/>
      <c r="B735" s="53"/>
      <c r="G735" s="68" t="s">
        <v>62</v>
      </c>
    </row>
    <row r="736">
      <c r="A736" s="53"/>
      <c r="B736" s="53"/>
      <c r="G736" s="68" t="s">
        <v>62</v>
      </c>
    </row>
    <row r="737">
      <c r="A737" s="53"/>
      <c r="B737" s="53"/>
      <c r="G737" s="68" t="s">
        <v>62</v>
      </c>
    </row>
    <row r="738">
      <c r="A738" s="53"/>
      <c r="B738" s="53"/>
      <c r="G738" s="68" t="s">
        <v>62</v>
      </c>
    </row>
    <row r="739">
      <c r="A739" s="53"/>
      <c r="B739" s="53"/>
      <c r="G739" s="68" t="s">
        <v>62</v>
      </c>
    </row>
    <row r="740">
      <c r="A740" s="53"/>
      <c r="B740" s="53"/>
      <c r="G740" s="68" t="s">
        <v>62</v>
      </c>
    </row>
    <row r="741">
      <c r="A741" s="53"/>
      <c r="B741" s="53"/>
      <c r="G741" s="68" t="s">
        <v>62</v>
      </c>
    </row>
    <row r="742">
      <c r="A742" s="53"/>
      <c r="B742" s="53"/>
      <c r="G742" s="68" t="s">
        <v>62</v>
      </c>
    </row>
    <row r="743">
      <c r="A743" s="53"/>
      <c r="B743" s="53"/>
      <c r="G743" s="68" t="s">
        <v>62</v>
      </c>
    </row>
    <row r="744">
      <c r="A744" s="53"/>
      <c r="B744" s="53"/>
      <c r="G744" s="68" t="s">
        <v>62</v>
      </c>
    </row>
    <row r="745">
      <c r="A745" s="53"/>
      <c r="B745" s="53"/>
      <c r="G745" s="68" t="s">
        <v>62</v>
      </c>
    </row>
    <row r="746">
      <c r="A746" s="53"/>
      <c r="B746" s="53"/>
      <c r="G746" s="68" t="s">
        <v>62</v>
      </c>
    </row>
    <row r="747">
      <c r="A747" s="53"/>
      <c r="B747" s="53"/>
      <c r="G747" s="68" t="s">
        <v>62</v>
      </c>
    </row>
    <row r="748">
      <c r="A748" s="53"/>
      <c r="B748" s="53"/>
      <c r="G748" s="68" t="s">
        <v>62</v>
      </c>
    </row>
    <row r="749">
      <c r="A749" s="53"/>
      <c r="B749" s="53"/>
      <c r="G749" s="68" t="s">
        <v>62</v>
      </c>
    </row>
    <row r="750">
      <c r="A750" s="53"/>
      <c r="B750" s="53"/>
      <c r="G750" s="68" t="s">
        <v>62</v>
      </c>
    </row>
    <row r="751">
      <c r="A751" s="53"/>
      <c r="B751" s="53"/>
      <c r="G751" s="68" t="s">
        <v>62</v>
      </c>
    </row>
    <row r="752">
      <c r="A752" s="53"/>
      <c r="B752" s="53"/>
      <c r="G752" s="68" t="s">
        <v>62</v>
      </c>
    </row>
    <row r="753">
      <c r="A753" s="53"/>
      <c r="B753" s="53"/>
      <c r="G753" s="68" t="s">
        <v>62</v>
      </c>
    </row>
    <row r="754">
      <c r="A754" s="53"/>
      <c r="B754" s="53"/>
      <c r="G754" s="68" t="s">
        <v>62</v>
      </c>
    </row>
    <row r="755">
      <c r="A755" s="53"/>
      <c r="B755" s="53"/>
      <c r="G755" s="68" t="s">
        <v>62</v>
      </c>
    </row>
    <row r="756">
      <c r="A756" s="53"/>
      <c r="B756" s="53"/>
      <c r="G756" s="68" t="s">
        <v>62</v>
      </c>
    </row>
    <row r="757">
      <c r="A757" s="53"/>
      <c r="B757" s="53"/>
      <c r="G757" s="68" t="s">
        <v>62</v>
      </c>
    </row>
    <row r="758">
      <c r="A758" s="53"/>
      <c r="B758" s="53"/>
      <c r="G758" s="68" t="s">
        <v>62</v>
      </c>
    </row>
    <row r="759">
      <c r="A759" s="53"/>
      <c r="B759" s="53"/>
      <c r="G759" s="68" t="s">
        <v>62</v>
      </c>
    </row>
    <row r="760">
      <c r="A760" s="53"/>
      <c r="B760" s="53"/>
      <c r="G760" s="68" t="s">
        <v>62</v>
      </c>
    </row>
    <row r="761">
      <c r="A761" s="53"/>
      <c r="B761" s="53"/>
      <c r="G761" s="68" t="s">
        <v>62</v>
      </c>
    </row>
    <row r="762">
      <c r="A762" s="53"/>
      <c r="B762" s="53"/>
      <c r="G762" s="68" t="s">
        <v>62</v>
      </c>
    </row>
    <row r="763">
      <c r="A763" s="53"/>
      <c r="B763" s="53"/>
      <c r="G763" s="68" t="s">
        <v>62</v>
      </c>
    </row>
    <row r="764">
      <c r="A764" s="53"/>
      <c r="B764" s="53"/>
      <c r="G764" s="68" t="s">
        <v>62</v>
      </c>
    </row>
    <row r="765">
      <c r="A765" s="53"/>
      <c r="B765" s="53"/>
      <c r="G765" s="68" t="s">
        <v>62</v>
      </c>
    </row>
    <row r="766">
      <c r="A766" s="53"/>
      <c r="B766" s="53"/>
      <c r="G766" s="68" t="s">
        <v>62</v>
      </c>
    </row>
    <row r="767">
      <c r="A767" s="53"/>
      <c r="B767" s="53"/>
      <c r="G767" s="68" t="s">
        <v>62</v>
      </c>
    </row>
    <row r="768">
      <c r="A768" s="53"/>
      <c r="B768" s="53"/>
      <c r="G768" s="68" t="s">
        <v>62</v>
      </c>
    </row>
    <row r="769">
      <c r="A769" s="53"/>
      <c r="B769" s="53"/>
      <c r="G769" s="68" t="s">
        <v>62</v>
      </c>
    </row>
    <row r="770">
      <c r="A770" s="53"/>
      <c r="B770" s="53"/>
      <c r="G770" s="68" t="s">
        <v>62</v>
      </c>
    </row>
    <row r="771">
      <c r="A771" s="53"/>
      <c r="B771" s="53"/>
      <c r="G771" s="68" t="s">
        <v>62</v>
      </c>
    </row>
    <row r="772">
      <c r="A772" s="53"/>
      <c r="B772" s="53"/>
      <c r="G772" s="68" t="s">
        <v>62</v>
      </c>
    </row>
    <row r="773">
      <c r="A773" s="53"/>
      <c r="B773" s="53"/>
      <c r="G773" s="68" t="s">
        <v>62</v>
      </c>
    </row>
    <row r="774">
      <c r="A774" s="53"/>
      <c r="B774" s="53"/>
      <c r="G774" s="68" t="s">
        <v>62</v>
      </c>
    </row>
    <row r="775">
      <c r="A775" s="53"/>
      <c r="B775" s="53"/>
      <c r="G775" s="68" t="s">
        <v>62</v>
      </c>
    </row>
    <row r="776">
      <c r="A776" s="53"/>
      <c r="B776" s="53"/>
      <c r="G776" s="68" t="s">
        <v>62</v>
      </c>
    </row>
    <row r="777">
      <c r="A777" s="53"/>
      <c r="B777" s="53"/>
      <c r="G777" s="68" t="s">
        <v>62</v>
      </c>
    </row>
    <row r="778">
      <c r="A778" s="53"/>
      <c r="B778" s="53"/>
      <c r="G778" s="68" t="s">
        <v>62</v>
      </c>
    </row>
    <row r="779">
      <c r="A779" s="53"/>
      <c r="B779" s="53"/>
      <c r="G779" s="68" t="s">
        <v>62</v>
      </c>
    </row>
    <row r="780">
      <c r="A780" s="53"/>
      <c r="B780" s="53"/>
      <c r="G780" s="68" t="s">
        <v>62</v>
      </c>
    </row>
    <row r="781">
      <c r="A781" s="53"/>
      <c r="B781" s="53"/>
      <c r="G781" s="68" t="s">
        <v>62</v>
      </c>
    </row>
    <row r="782">
      <c r="A782" s="53"/>
      <c r="B782" s="53"/>
      <c r="G782" s="68" t="s">
        <v>62</v>
      </c>
    </row>
    <row r="783">
      <c r="A783" s="53"/>
      <c r="B783" s="53"/>
      <c r="G783" s="68" t="s">
        <v>62</v>
      </c>
    </row>
    <row r="784">
      <c r="A784" s="53"/>
      <c r="B784" s="53"/>
      <c r="G784" s="68" t="s">
        <v>62</v>
      </c>
    </row>
    <row r="785">
      <c r="A785" s="53"/>
      <c r="B785" s="53"/>
      <c r="G785" s="68" t="s">
        <v>62</v>
      </c>
    </row>
    <row r="786">
      <c r="A786" s="53"/>
      <c r="B786" s="53"/>
      <c r="G786" s="68" t="s">
        <v>62</v>
      </c>
    </row>
    <row r="787">
      <c r="A787" s="53"/>
      <c r="B787" s="53"/>
      <c r="G787" s="68" t="s">
        <v>62</v>
      </c>
    </row>
    <row r="788">
      <c r="A788" s="53"/>
      <c r="B788" s="53"/>
      <c r="G788" s="68" t="s">
        <v>62</v>
      </c>
    </row>
    <row r="789">
      <c r="A789" s="53"/>
      <c r="B789" s="53"/>
      <c r="G789" s="68" t="s">
        <v>62</v>
      </c>
    </row>
    <row r="790">
      <c r="A790" s="53"/>
      <c r="B790" s="53"/>
      <c r="G790" s="68" t="s">
        <v>62</v>
      </c>
    </row>
    <row r="791">
      <c r="A791" s="53"/>
      <c r="B791" s="53"/>
      <c r="G791" s="68" t="s">
        <v>62</v>
      </c>
    </row>
    <row r="792">
      <c r="A792" s="53"/>
      <c r="B792" s="53"/>
      <c r="G792" s="68" t="s">
        <v>62</v>
      </c>
    </row>
    <row r="793">
      <c r="A793" s="53"/>
      <c r="B793" s="53"/>
      <c r="G793" s="68" t="s">
        <v>62</v>
      </c>
    </row>
    <row r="794">
      <c r="A794" s="53"/>
      <c r="B794" s="53"/>
      <c r="G794" s="68" t="s">
        <v>62</v>
      </c>
    </row>
    <row r="795">
      <c r="A795" s="53"/>
      <c r="B795" s="53"/>
      <c r="G795" s="68" t="s">
        <v>62</v>
      </c>
    </row>
    <row r="796">
      <c r="A796" s="53"/>
      <c r="B796" s="53"/>
      <c r="G796" s="68" t="s">
        <v>62</v>
      </c>
    </row>
    <row r="797">
      <c r="A797" s="53"/>
      <c r="B797" s="53"/>
      <c r="G797" s="68" t="s">
        <v>62</v>
      </c>
    </row>
    <row r="798">
      <c r="A798" s="53"/>
      <c r="B798" s="53"/>
      <c r="G798" s="68" t="s">
        <v>62</v>
      </c>
    </row>
    <row r="799">
      <c r="A799" s="53"/>
      <c r="B799" s="53"/>
      <c r="G799" s="68" t="s">
        <v>62</v>
      </c>
    </row>
    <row r="800">
      <c r="A800" s="53"/>
      <c r="B800" s="53"/>
      <c r="G800" s="68" t="s">
        <v>62</v>
      </c>
    </row>
    <row r="801">
      <c r="A801" s="53"/>
      <c r="B801" s="53"/>
      <c r="G801" s="68" t="s">
        <v>62</v>
      </c>
    </row>
    <row r="802">
      <c r="A802" s="53"/>
      <c r="B802" s="53"/>
      <c r="G802" s="68" t="s">
        <v>62</v>
      </c>
    </row>
    <row r="803">
      <c r="A803" s="53"/>
      <c r="B803" s="53"/>
      <c r="G803" s="68" t="s">
        <v>62</v>
      </c>
    </row>
    <row r="804">
      <c r="A804" s="53"/>
      <c r="B804" s="53"/>
      <c r="G804" s="68" t="s">
        <v>62</v>
      </c>
    </row>
    <row r="805">
      <c r="A805" s="53"/>
      <c r="B805" s="53"/>
      <c r="G805" s="68" t="s">
        <v>62</v>
      </c>
    </row>
    <row r="806">
      <c r="A806" s="53"/>
      <c r="B806" s="53"/>
      <c r="G806" s="68" t="s">
        <v>62</v>
      </c>
    </row>
    <row r="807">
      <c r="A807" s="53"/>
      <c r="B807" s="53"/>
      <c r="G807" s="68" t="s">
        <v>62</v>
      </c>
    </row>
    <row r="808">
      <c r="A808" s="53"/>
      <c r="B808" s="53"/>
      <c r="G808" s="68" t="s">
        <v>62</v>
      </c>
    </row>
    <row r="809">
      <c r="A809" s="53"/>
      <c r="B809" s="53"/>
      <c r="G809" s="68" t="s">
        <v>62</v>
      </c>
    </row>
    <row r="810">
      <c r="A810" s="53"/>
      <c r="B810" s="53"/>
      <c r="G810" s="68" t="s">
        <v>62</v>
      </c>
    </row>
    <row r="811">
      <c r="A811" s="53"/>
      <c r="B811" s="53"/>
      <c r="G811" s="68" t="s">
        <v>62</v>
      </c>
    </row>
    <row r="812">
      <c r="A812" s="53"/>
      <c r="B812" s="53"/>
      <c r="G812" s="68" t="s">
        <v>62</v>
      </c>
    </row>
    <row r="813">
      <c r="A813" s="53"/>
      <c r="B813" s="53"/>
      <c r="G813" s="68" t="s">
        <v>62</v>
      </c>
    </row>
    <row r="814">
      <c r="A814" s="53"/>
      <c r="B814" s="53"/>
      <c r="G814" s="68" t="s">
        <v>62</v>
      </c>
    </row>
    <row r="815">
      <c r="A815" s="53"/>
      <c r="B815" s="53"/>
      <c r="G815" s="68" t="s">
        <v>62</v>
      </c>
    </row>
    <row r="816">
      <c r="A816" s="53"/>
      <c r="B816" s="53"/>
      <c r="G816" s="68" t="s">
        <v>62</v>
      </c>
    </row>
    <row r="817">
      <c r="A817" s="53"/>
      <c r="B817" s="53"/>
      <c r="G817" s="68" t="s">
        <v>62</v>
      </c>
    </row>
    <row r="818">
      <c r="A818" s="53"/>
      <c r="B818" s="53"/>
      <c r="G818" s="68" t="s">
        <v>62</v>
      </c>
    </row>
    <row r="819">
      <c r="A819" s="53"/>
      <c r="B819" s="53"/>
      <c r="G819" s="68" t="s">
        <v>62</v>
      </c>
    </row>
    <row r="820">
      <c r="A820" s="53"/>
      <c r="B820" s="53"/>
      <c r="G820" s="68" t="s">
        <v>62</v>
      </c>
    </row>
    <row r="821">
      <c r="A821" s="53"/>
      <c r="B821" s="53"/>
      <c r="G821" s="68" t="s">
        <v>62</v>
      </c>
    </row>
    <row r="822">
      <c r="A822" s="53"/>
      <c r="B822" s="53"/>
      <c r="G822" s="68" t="s">
        <v>62</v>
      </c>
    </row>
    <row r="823">
      <c r="A823" s="53"/>
      <c r="B823" s="53"/>
      <c r="G823" s="68" t="s">
        <v>62</v>
      </c>
    </row>
    <row r="824">
      <c r="A824" s="53"/>
      <c r="B824" s="53"/>
      <c r="G824" s="68" t="s">
        <v>62</v>
      </c>
    </row>
    <row r="825">
      <c r="A825" s="53"/>
      <c r="B825" s="53"/>
      <c r="G825" s="68" t="s">
        <v>62</v>
      </c>
    </row>
    <row r="826">
      <c r="A826" s="53"/>
      <c r="B826" s="53"/>
      <c r="G826" s="68" t="s">
        <v>62</v>
      </c>
    </row>
    <row r="827">
      <c r="A827" s="53"/>
      <c r="B827" s="53"/>
      <c r="G827" s="68" t="s">
        <v>62</v>
      </c>
    </row>
    <row r="828">
      <c r="A828" s="53"/>
      <c r="B828" s="53"/>
      <c r="G828" s="68" t="s">
        <v>62</v>
      </c>
    </row>
    <row r="829">
      <c r="A829" s="53"/>
      <c r="B829" s="53"/>
      <c r="G829" s="68" t="s">
        <v>62</v>
      </c>
    </row>
    <row r="830">
      <c r="A830" s="53"/>
      <c r="B830" s="53"/>
      <c r="G830" s="68" t="s">
        <v>62</v>
      </c>
    </row>
    <row r="831">
      <c r="A831" s="53"/>
      <c r="B831" s="53"/>
      <c r="G831" s="68" t="s">
        <v>62</v>
      </c>
    </row>
    <row r="832">
      <c r="A832" s="53"/>
      <c r="B832" s="53"/>
      <c r="G832" s="68" t="s">
        <v>62</v>
      </c>
    </row>
    <row r="833">
      <c r="A833" s="53"/>
      <c r="B833" s="53"/>
      <c r="G833" s="68" t="s">
        <v>62</v>
      </c>
    </row>
    <row r="834">
      <c r="A834" s="53"/>
      <c r="B834" s="53"/>
      <c r="G834" s="68" t="s">
        <v>62</v>
      </c>
    </row>
    <row r="835">
      <c r="A835" s="53"/>
      <c r="B835" s="53"/>
      <c r="G835" s="68" t="s">
        <v>62</v>
      </c>
    </row>
    <row r="836">
      <c r="A836" s="53"/>
      <c r="B836" s="53"/>
      <c r="G836" s="68" t="s">
        <v>62</v>
      </c>
    </row>
    <row r="837">
      <c r="A837" s="53"/>
      <c r="B837" s="53"/>
      <c r="G837" s="68" t="s">
        <v>62</v>
      </c>
    </row>
    <row r="838">
      <c r="A838" s="53"/>
      <c r="B838" s="53"/>
      <c r="G838" s="68" t="s">
        <v>62</v>
      </c>
    </row>
    <row r="839">
      <c r="A839" s="53"/>
      <c r="B839" s="53"/>
      <c r="G839" s="68" t="s">
        <v>62</v>
      </c>
    </row>
    <row r="840">
      <c r="A840" s="53"/>
      <c r="B840" s="53"/>
      <c r="G840" s="68" t="s">
        <v>62</v>
      </c>
    </row>
    <row r="841">
      <c r="A841" s="53"/>
      <c r="B841" s="53"/>
      <c r="G841" s="68" t="s">
        <v>62</v>
      </c>
    </row>
    <row r="842">
      <c r="A842" s="53"/>
      <c r="B842" s="53"/>
      <c r="G842" s="68" t="s">
        <v>62</v>
      </c>
    </row>
    <row r="843">
      <c r="A843" s="53"/>
      <c r="B843" s="53"/>
      <c r="G843" s="68" t="s">
        <v>62</v>
      </c>
    </row>
    <row r="844">
      <c r="A844" s="53"/>
      <c r="B844" s="53"/>
      <c r="G844" s="68" t="s">
        <v>62</v>
      </c>
    </row>
    <row r="845">
      <c r="A845" s="53"/>
      <c r="B845" s="53"/>
      <c r="G845" s="68" t="s">
        <v>62</v>
      </c>
    </row>
    <row r="846">
      <c r="A846" s="53"/>
      <c r="B846" s="53"/>
      <c r="G846" s="68" t="s">
        <v>62</v>
      </c>
    </row>
    <row r="847">
      <c r="A847" s="53"/>
      <c r="B847" s="53"/>
      <c r="G847" s="68" t="s">
        <v>62</v>
      </c>
    </row>
    <row r="848">
      <c r="A848" s="53"/>
      <c r="B848" s="53"/>
      <c r="G848" s="68" t="s">
        <v>62</v>
      </c>
    </row>
    <row r="849">
      <c r="A849" s="53"/>
      <c r="B849" s="53"/>
      <c r="G849" s="68" t="s">
        <v>62</v>
      </c>
    </row>
    <row r="850">
      <c r="A850" s="53"/>
      <c r="B850" s="53"/>
      <c r="G850" s="68" t="s">
        <v>62</v>
      </c>
    </row>
    <row r="851">
      <c r="A851" s="53"/>
      <c r="B851" s="53"/>
      <c r="G851" s="68" t="s">
        <v>62</v>
      </c>
    </row>
    <row r="852">
      <c r="A852" s="53"/>
      <c r="B852" s="53"/>
      <c r="G852" s="68" t="s">
        <v>62</v>
      </c>
    </row>
    <row r="853">
      <c r="A853" s="53"/>
      <c r="B853" s="53"/>
      <c r="G853" s="68" t="s">
        <v>62</v>
      </c>
    </row>
    <row r="854">
      <c r="A854" s="53"/>
      <c r="B854" s="53"/>
      <c r="G854" s="68" t="s">
        <v>62</v>
      </c>
    </row>
    <row r="855">
      <c r="A855" s="53"/>
      <c r="B855" s="53"/>
      <c r="G855" s="68" t="s">
        <v>62</v>
      </c>
    </row>
    <row r="856">
      <c r="A856" s="53"/>
      <c r="B856" s="53"/>
      <c r="G856" s="68" t="s">
        <v>62</v>
      </c>
    </row>
    <row r="857">
      <c r="A857" s="53"/>
      <c r="B857" s="53"/>
      <c r="G857" s="68" t="s">
        <v>62</v>
      </c>
    </row>
    <row r="858">
      <c r="A858" s="53"/>
      <c r="B858" s="53"/>
      <c r="G858" s="68" t="s">
        <v>62</v>
      </c>
    </row>
    <row r="859">
      <c r="A859" s="53"/>
      <c r="B859" s="53"/>
      <c r="G859" s="68" t="s">
        <v>62</v>
      </c>
    </row>
    <row r="860">
      <c r="A860" s="53"/>
      <c r="B860" s="53"/>
      <c r="G860" s="68" t="s">
        <v>62</v>
      </c>
    </row>
    <row r="861">
      <c r="A861" s="53"/>
      <c r="B861" s="53"/>
      <c r="G861" s="68" t="s">
        <v>62</v>
      </c>
    </row>
    <row r="862">
      <c r="A862" s="53"/>
      <c r="B862" s="53"/>
      <c r="G862" s="68" t="s">
        <v>62</v>
      </c>
    </row>
    <row r="863">
      <c r="A863" s="53"/>
      <c r="B863" s="53"/>
      <c r="G863" s="68" t="s">
        <v>62</v>
      </c>
    </row>
    <row r="864">
      <c r="A864" s="53"/>
      <c r="B864" s="53"/>
      <c r="G864" s="68" t="s">
        <v>62</v>
      </c>
    </row>
    <row r="865">
      <c r="A865" s="53"/>
      <c r="B865" s="53"/>
      <c r="G865" s="68" t="s">
        <v>62</v>
      </c>
    </row>
    <row r="866">
      <c r="A866" s="53"/>
      <c r="B866" s="53"/>
      <c r="G866" s="68" t="s">
        <v>62</v>
      </c>
    </row>
    <row r="867">
      <c r="A867" s="53"/>
      <c r="B867" s="53"/>
      <c r="G867" s="68" t="s">
        <v>62</v>
      </c>
    </row>
    <row r="868">
      <c r="A868" s="53"/>
      <c r="B868" s="53"/>
      <c r="G868" s="68" t="s">
        <v>62</v>
      </c>
    </row>
    <row r="869">
      <c r="A869" s="53"/>
      <c r="B869" s="53"/>
      <c r="G869" s="68" t="s">
        <v>62</v>
      </c>
    </row>
    <row r="870">
      <c r="A870" s="53"/>
      <c r="B870" s="53"/>
      <c r="G870" s="68" t="s">
        <v>62</v>
      </c>
    </row>
    <row r="871">
      <c r="A871" s="53"/>
      <c r="B871" s="53"/>
      <c r="G871" s="68" t="s">
        <v>62</v>
      </c>
    </row>
    <row r="872">
      <c r="A872" s="53"/>
      <c r="B872" s="53"/>
      <c r="G872" s="68" t="s">
        <v>62</v>
      </c>
    </row>
    <row r="873">
      <c r="A873" s="53"/>
      <c r="B873" s="53"/>
      <c r="G873" s="68" t="s">
        <v>62</v>
      </c>
    </row>
    <row r="874">
      <c r="A874" s="53"/>
      <c r="B874" s="53"/>
      <c r="G874" s="68" t="s">
        <v>62</v>
      </c>
    </row>
    <row r="875">
      <c r="A875" s="53"/>
      <c r="B875" s="53"/>
      <c r="G875" s="68" t="s">
        <v>62</v>
      </c>
    </row>
    <row r="876">
      <c r="A876" s="53"/>
      <c r="B876" s="53"/>
      <c r="G876" s="68" t="s">
        <v>62</v>
      </c>
    </row>
    <row r="877">
      <c r="A877" s="53"/>
      <c r="B877" s="53"/>
      <c r="G877" s="68" t="s">
        <v>62</v>
      </c>
    </row>
    <row r="878">
      <c r="A878" s="53"/>
      <c r="B878" s="53"/>
      <c r="G878" s="68" t="s">
        <v>62</v>
      </c>
    </row>
    <row r="879">
      <c r="A879" s="53"/>
      <c r="B879" s="53"/>
      <c r="G879" s="68" t="s">
        <v>62</v>
      </c>
    </row>
    <row r="880">
      <c r="A880" s="53"/>
      <c r="B880" s="53"/>
      <c r="G880" s="68" t="s">
        <v>62</v>
      </c>
    </row>
    <row r="881">
      <c r="A881" s="53"/>
      <c r="B881" s="53"/>
      <c r="G881" s="68" t="s">
        <v>62</v>
      </c>
    </row>
    <row r="882">
      <c r="A882" s="53"/>
      <c r="B882" s="53"/>
      <c r="G882" s="68" t="s">
        <v>62</v>
      </c>
    </row>
    <row r="883">
      <c r="A883" s="53"/>
      <c r="B883" s="53"/>
      <c r="G883" s="68" t="s">
        <v>62</v>
      </c>
    </row>
    <row r="884">
      <c r="A884" s="53"/>
      <c r="B884" s="53"/>
      <c r="G884" s="68" t="s">
        <v>62</v>
      </c>
    </row>
    <row r="885">
      <c r="A885" s="53"/>
      <c r="B885" s="53"/>
      <c r="G885" s="68" t="s">
        <v>62</v>
      </c>
    </row>
    <row r="886">
      <c r="A886" s="53"/>
      <c r="B886" s="53"/>
      <c r="G886" s="68" t="s">
        <v>62</v>
      </c>
    </row>
    <row r="887">
      <c r="A887" s="53"/>
      <c r="B887" s="53"/>
      <c r="G887" s="68" t="s">
        <v>62</v>
      </c>
    </row>
    <row r="888">
      <c r="A888" s="53"/>
      <c r="B888" s="53"/>
      <c r="G888" s="68" t="s">
        <v>62</v>
      </c>
    </row>
    <row r="889">
      <c r="A889" s="53"/>
      <c r="B889" s="53"/>
      <c r="G889" s="68" t="s">
        <v>62</v>
      </c>
    </row>
    <row r="890">
      <c r="A890" s="53"/>
      <c r="B890" s="53"/>
      <c r="G890" s="68" t="s">
        <v>62</v>
      </c>
    </row>
    <row r="891">
      <c r="A891" s="53"/>
      <c r="B891" s="53"/>
      <c r="G891" s="68" t="s">
        <v>62</v>
      </c>
    </row>
    <row r="892">
      <c r="A892" s="53"/>
      <c r="B892" s="53"/>
      <c r="G892" s="68" t="s">
        <v>62</v>
      </c>
    </row>
    <row r="893">
      <c r="A893" s="53"/>
      <c r="B893" s="53"/>
      <c r="G893" s="68" t="s">
        <v>62</v>
      </c>
    </row>
    <row r="894">
      <c r="A894" s="53"/>
      <c r="B894" s="53"/>
      <c r="G894" s="68" t="s">
        <v>62</v>
      </c>
    </row>
    <row r="895">
      <c r="A895" s="53"/>
      <c r="B895" s="53"/>
      <c r="G895" s="68" t="s">
        <v>62</v>
      </c>
    </row>
    <row r="896">
      <c r="A896" s="53"/>
      <c r="B896" s="53"/>
      <c r="G896" s="68" t="s">
        <v>62</v>
      </c>
    </row>
    <row r="897">
      <c r="A897" s="53"/>
      <c r="B897" s="53"/>
      <c r="G897" s="68" t="s">
        <v>62</v>
      </c>
    </row>
    <row r="898">
      <c r="A898" s="53"/>
      <c r="B898" s="53"/>
      <c r="G898" s="68" t="s">
        <v>62</v>
      </c>
    </row>
    <row r="899">
      <c r="A899" s="53"/>
      <c r="B899" s="53"/>
      <c r="G899" s="68" t="s">
        <v>62</v>
      </c>
    </row>
    <row r="900">
      <c r="A900" s="53"/>
      <c r="B900" s="53"/>
      <c r="G900" s="68" t="s">
        <v>62</v>
      </c>
    </row>
    <row r="901">
      <c r="A901" s="53"/>
      <c r="B901" s="53"/>
      <c r="G901" s="68" t="s">
        <v>62</v>
      </c>
    </row>
    <row r="902">
      <c r="A902" s="53"/>
      <c r="B902" s="53"/>
      <c r="G902" s="68" t="s">
        <v>62</v>
      </c>
    </row>
    <row r="903">
      <c r="A903" s="53"/>
      <c r="B903" s="53"/>
      <c r="G903" s="68" t="s">
        <v>62</v>
      </c>
    </row>
    <row r="904">
      <c r="A904" s="53"/>
      <c r="B904" s="53"/>
      <c r="G904" s="68" t="s">
        <v>62</v>
      </c>
    </row>
    <row r="905">
      <c r="A905" s="53"/>
      <c r="B905" s="53"/>
      <c r="G905" s="68" t="s">
        <v>62</v>
      </c>
    </row>
    <row r="906">
      <c r="A906" s="53"/>
      <c r="B906" s="53"/>
      <c r="G906" s="68" t="s">
        <v>62</v>
      </c>
    </row>
    <row r="907">
      <c r="A907" s="53"/>
      <c r="B907" s="53"/>
      <c r="G907" s="68" t="s">
        <v>62</v>
      </c>
    </row>
    <row r="908">
      <c r="A908" s="53"/>
      <c r="B908" s="53"/>
      <c r="G908" s="68" t="s">
        <v>62</v>
      </c>
    </row>
    <row r="909">
      <c r="A909" s="53"/>
      <c r="B909" s="53"/>
      <c r="G909" s="68" t="s">
        <v>62</v>
      </c>
    </row>
    <row r="910">
      <c r="A910" s="53"/>
      <c r="B910" s="53"/>
      <c r="G910" s="68" t="s">
        <v>62</v>
      </c>
    </row>
    <row r="911">
      <c r="A911" s="53"/>
      <c r="B911" s="53"/>
      <c r="G911" s="68" t="s">
        <v>62</v>
      </c>
    </row>
    <row r="912">
      <c r="A912" s="53"/>
      <c r="B912" s="53"/>
      <c r="G912" s="68" t="s">
        <v>62</v>
      </c>
    </row>
    <row r="913">
      <c r="A913" s="53"/>
      <c r="B913" s="53"/>
      <c r="G913" s="68" t="s">
        <v>62</v>
      </c>
    </row>
    <row r="914">
      <c r="A914" s="53"/>
      <c r="B914" s="53"/>
      <c r="G914" s="68" t="s">
        <v>62</v>
      </c>
    </row>
    <row r="915">
      <c r="A915" s="53"/>
      <c r="B915" s="53"/>
      <c r="G915" s="68" t="s">
        <v>62</v>
      </c>
    </row>
    <row r="916">
      <c r="A916" s="53"/>
      <c r="B916" s="53"/>
      <c r="G916" s="68" t="s">
        <v>62</v>
      </c>
    </row>
    <row r="917">
      <c r="A917" s="53"/>
      <c r="B917" s="53"/>
      <c r="G917" s="68" t="s">
        <v>62</v>
      </c>
    </row>
    <row r="918">
      <c r="A918" s="53"/>
      <c r="B918" s="53"/>
      <c r="G918" s="68" t="s">
        <v>62</v>
      </c>
    </row>
    <row r="919">
      <c r="A919" s="53"/>
      <c r="B919" s="53"/>
      <c r="G919" s="68" t="s">
        <v>62</v>
      </c>
    </row>
    <row r="920">
      <c r="A920" s="53"/>
      <c r="B920" s="53"/>
      <c r="G920" s="68" t="s">
        <v>62</v>
      </c>
    </row>
    <row r="921">
      <c r="A921" s="53"/>
      <c r="B921" s="53"/>
      <c r="G921" s="68" t="s">
        <v>62</v>
      </c>
    </row>
    <row r="922">
      <c r="A922" s="53"/>
      <c r="B922" s="53"/>
      <c r="G922" s="68" t="s">
        <v>62</v>
      </c>
    </row>
    <row r="923">
      <c r="A923" s="53"/>
      <c r="B923" s="53"/>
      <c r="G923" s="68" t="s">
        <v>62</v>
      </c>
    </row>
    <row r="924">
      <c r="A924" s="53"/>
      <c r="B924" s="53"/>
      <c r="G924" s="68" t="s">
        <v>62</v>
      </c>
    </row>
    <row r="925">
      <c r="A925" s="53"/>
      <c r="B925" s="53"/>
      <c r="G925" s="68" t="s">
        <v>62</v>
      </c>
    </row>
    <row r="926">
      <c r="A926" s="53"/>
      <c r="B926" s="53"/>
      <c r="G926" s="68" t="s">
        <v>62</v>
      </c>
    </row>
    <row r="927">
      <c r="A927" s="53"/>
      <c r="B927" s="53"/>
      <c r="G927" s="68" t="s">
        <v>62</v>
      </c>
    </row>
    <row r="928">
      <c r="A928" s="53"/>
      <c r="B928" s="53"/>
      <c r="G928" s="68" t="s">
        <v>62</v>
      </c>
    </row>
    <row r="929">
      <c r="A929" s="53"/>
      <c r="B929" s="53"/>
      <c r="G929" s="68" t="s">
        <v>62</v>
      </c>
    </row>
    <row r="930">
      <c r="A930" s="53"/>
      <c r="B930" s="53"/>
      <c r="G930" s="68" t="s">
        <v>62</v>
      </c>
    </row>
    <row r="931">
      <c r="A931" s="53"/>
      <c r="B931" s="53"/>
      <c r="G931" s="68" t="s">
        <v>62</v>
      </c>
    </row>
    <row r="932">
      <c r="A932" s="53"/>
      <c r="B932" s="53"/>
      <c r="G932" s="68" t="s">
        <v>62</v>
      </c>
    </row>
    <row r="933">
      <c r="A933" s="53"/>
      <c r="B933" s="53"/>
      <c r="G933" s="68" t="s">
        <v>62</v>
      </c>
    </row>
    <row r="934">
      <c r="A934" s="53"/>
      <c r="B934" s="53"/>
      <c r="G934" s="68" t="s">
        <v>62</v>
      </c>
    </row>
    <row r="935">
      <c r="A935" s="53"/>
      <c r="B935" s="53"/>
      <c r="G935" s="68" t="s">
        <v>62</v>
      </c>
    </row>
    <row r="936">
      <c r="A936" s="53"/>
      <c r="B936" s="53"/>
      <c r="G936" s="68" t="s">
        <v>62</v>
      </c>
    </row>
    <row r="937">
      <c r="A937" s="53"/>
      <c r="B937" s="53"/>
      <c r="G937" s="68" t="s">
        <v>62</v>
      </c>
    </row>
    <row r="938">
      <c r="A938" s="53"/>
      <c r="B938" s="53"/>
      <c r="G938" s="68" t="s">
        <v>62</v>
      </c>
    </row>
    <row r="939">
      <c r="A939" s="53"/>
      <c r="B939" s="53"/>
      <c r="G939" s="68" t="s">
        <v>62</v>
      </c>
    </row>
    <row r="940">
      <c r="A940" s="53"/>
      <c r="B940" s="53"/>
      <c r="G940" s="68" t="s">
        <v>62</v>
      </c>
    </row>
    <row r="941">
      <c r="A941" s="53"/>
      <c r="B941" s="53"/>
      <c r="G941" s="68" t="s">
        <v>62</v>
      </c>
    </row>
    <row r="942">
      <c r="A942" s="53"/>
      <c r="B942" s="53"/>
      <c r="G942" s="68" t="s">
        <v>62</v>
      </c>
    </row>
    <row r="943">
      <c r="A943" s="53"/>
      <c r="B943" s="53"/>
      <c r="G943" s="68" t="s">
        <v>62</v>
      </c>
    </row>
    <row r="944">
      <c r="A944" s="53"/>
      <c r="B944" s="53"/>
      <c r="G944" s="68" t="s">
        <v>62</v>
      </c>
    </row>
    <row r="945">
      <c r="A945" s="53"/>
      <c r="B945" s="53"/>
      <c r="G945" s="68" t="s">
        <v>62</v>
      </c>
    </row>
    <row r="946">
      <c r="A946" s="53"/>
      <c r="B946" s="53"/>
      <c r="G946" s="68" t="s">
        <v>62</v>
      </c>
    </row>
    <row r="947">
      <c r="A947" s="53"/>
      <c r="B947" s="53"/>
      <c r="G947" s="68" t="s">
        <v>62</v>
      </c>
    </row>
    <row r="948">
      <c r="A948" s="53"/>
      <c r="B948" s="53"/>
      <c r="G948" s="68" t="s">
        <v>62</v>
      </c>
    </row>
    <row r="949">
      <c r="A949" s="53"/>
      <c r="B949" s="53"/>
      <c r="G949" s="68" t="s">
        <v>62</v>
      </c>
    </row>
    <row r="950">
      <c r="A950" s="53"/>
      <c r="B950" s="53"/>
      <c r="G950" s="68" t="s">
        <v>62</v>
      </c>
    </row>
    <row r="951">
      <c r="A951" s="53"/>
      <c r="B951" s="53"/>
      <c r="G951" s="68" t="s">
        <v>62</v>
      </c>
    </row>
    <row r="952">
      <c r="A952" s="53"/>
      <c r="B952" s="53"/>
      <c r="G952" s="68" t="s">
        <v>62</v>
      </c>
    </row>
    <row r="953">
      <c r="A953" s="53"/>
      <c r="B953" s="53"/>
      <c r="G953" s="68" t="s">
        <v>62</v>
      </c>
    </row>
    <row r="954">
      <c r="A954" s="53"/>
      <c r="B954" s="53"/>
      <c r="G954" s="68" t="s">
        <v>62</v>
      </c>
    </row>
    <row r="955">
      <c r="A955" s="53"/>
      <c r="B955" s="53"/>
      <c r="G955" s="68" t="s">
        <v>62</v>
      </c>
    </row>
    <row r="956">
      <c r="A956" s="53"/>
      <c r="B956" s="53"/>
      <c r="G956" s="68" t="s">
        <v>62</v>
      </c>
    </row>
    <row r="957">
      <c r="A957" s="53"/>
      <c r="B957" s="53"/>
      <c r="G957" s="68" t="s">
        <v>62</v>
      </c>
    </row>
    <row r="958">
      <c r="A958" s="53"/>
      <c r="B958" s="53"/>
      <c r="G958" s="68" t="s">
        <v>62</v>
      </c>
    </row>
    <row r="959">
      <c r="A959" s="53"/>
      <c r="B959" s="53"/>
      <c r="G959" s="68" t="s">
        <v>62</v>
      </c>
    </row>
    <row r="960">
      <c r="A960" s="53"/>
      <c r="B960" s="53"/>
      <c r="G960" s="68" t="s">
        <v>62</v>
      </c>
    </row>
    <row r="961">
      <c r="A961" s="53"/>
      <c r="B961" s="53"/>
      <c r="G961" s="68" t="s">
        <v>62</v>
      </c>
    </row>
    <row r="962">
      <c r="A962" s="53"/>
      <c r="B962" s="53"/>
      <c r="G962" s="68" t="s">
        <v>62</v>
      </c>
    </row>
    <row r="963">
      <c r="A963" s="53"/>
      <c r="B963" s="53"/>
      <c r="G963" s="68" t="s">
        <v>62</v>
      </c>
    </row>
    <row r="964">
      <c r="A964" s="53"/>
      <c r="B964" s="53"/>
      <c r="G964" s="68" t="s">
        <v>62</v>
      </c>
    </row>
    <row r="965">
      <c r="A965" s="53"/>
      <c r="B965" s="53"/>
      <c r="G965" s="68" t="s">
        <v>62</v>
      </c>
    </row>
    <row r="966">
      <c r="A966" s="53"/>
      <c r="B966" s="53"/>
      <c r="G966" s="68" t="s">
        <v>62</v>
      </c>
    </row>
    <row r="967">
      <c r="A967" s="53"/>
      <c r="B967" s="53"/>
      <c r="G967" s="68" t="s">
        <v>62</v>
      </c>
    </row>
    <row r="968">
      <c r="A968" s="53"/>
      <c r="B968" s="53"/>
      <c r="G968" s="68" t="s">
        <v>62</v>
      </c>
    </row>
    <row r="969">
      <c r="A969" s="53"/>
      <c r="B969" s="53"/>
      <c r="G969" s="68" t="s">
        <v>62</v>
      </c>
    </row>
    <row r="970">
      <c r="A970" s="53"/>
      <c r="B970" s="53"/>
      <c r="G970" s="68" t="s">
        <v>62</v>
      </c>
    </row>
    <row r="971">
      <c r="A971" s="53"/>
      <c r="B971" s="53"/>
      <c r="G971" s="68" t="s">
        <v>62</v>
      </c>
    </row>
    <row r="972">
      <c r="A972" s="53"/>
      <c r="B972" s="53"/>
      <c r="G972" s="68" t="s">
        <v>62</v>
      </c>
    </row>
    <row r="973">
      <c r="A973" s="53"/>
      <c r="B973" s="53"/>
      <c r="G973" s="68" t="s">
        <v>62</v>
      </c>
    </row>
    <row r="974">
      <c r="A974" s="53"/>
      <c r="B974" s="53"/>
      <c r="G974" s="68" t="s">
        <v>62</v>
      </c>
    </row>
    <row r="975">
      <c r="A975" s="53"/>
      <c r="B975" s="53"/>
      <c r="G975" s="68" t="s">
        <v>62</v>
      </c>
    </row>
    <row r="976">
      <c r="A976" s="53"/>
      <c r="B976" s="53"/>
      <c r="G976" s="68" t="s">
        <v>62</v>
      </c>
    </row>
    <row r="977">
      <c r="A977" s="53"/>
      <c r="B977" s="53"/>
      <c r="G977" s="68" t="s">
        <v>62</v>
      </c>
    </row>
    <row r="978">
      <c r="A978" s="53"/>
      <c r="B978" s="53"/>
      <c r="G978" s="68" t="s">
        <v>62</v>
      </c>
    </row>
    <row r="979">
      <c r="A979" s="53"/>
      <c r="B979" s="53"/>
      <c r="G979" s="68" t="s">
        <v>62</v>
      </c>
    </row>
    <row r="980">
      <c r="A980" s="53"/>
      <c r="B980" s="53"/>
      <c r="G980" s="68" t="s">
        <v>62</v>
      </c>
    </row>
    <row r="981">
      <c r="A981" s="53"/>
      <c r="B981" s="53"/>
      <c r="G981" s="68" t="s">
        <v>62</v>
      </c>
    </row>
    <row r="982">
      <c r="A982" s="53"/>
      <c r="B982" s="53"/>
      <c r="G982" s="68" t="s">
        <v>62</v>
      </c>
    </row>
    <row r="983">
      <c r="A983" s="53"/>
      <c r="B983" s="53"/>
      <c r="G983" s="68" t="s">
        <v>62</v>
      </c>
    </row>
    <row r="984">
      <c r="A984" s="53"/>
      <c r="B984" s="53"/>
      <c r="G984" s="68" t="s">
        <v>62</v>
      </c>
    </row>
    <row r="985">
      <c r="A985" s="53"/>
      <c r="B985" s="53"/>
      <c r="G985" s="68" t="s">
        <v>62</v>
      </c>
    </row>
    <row r="986">
      <c r="A986" s="53"/>
      <c r="B986" s="53"/>
      <c r="G986" s="68" t="s">
        <v>62</v>
      </c>
    </row>
    <row r="987">
      <c r="A987" s="53"/>
      <c r="B987" s="53"/>
      <c r="G987" s="68" t="s">
        <v>62</v>
      </c>
    </row>
    <row r="988">
      <c r="A988" s="53"/>
      <c r="B988" s="53"/>
      <c r="G988" s="68" t="s">
        <v>62</v>
      </c>
    </row>
    <row r="989">
      <c r="A989" s="53"/>
      <c r="B989" s="53"/>
      <c r="G989" s="68" t="s">
        <v>62</v>
      </c>
    </row>
    <row r="990">
      <c r="A990" s="53"/>
      <c r="B990" s="53"/>
      <c r="G990" s="68" t="s">
        <v>62</v>
      </c>
    </row>
    <row r="991">
      <c r="A991" s="53"/>
      <c r="B991" s="53"/>
      <c r="G991" s="68" t="s">
        <v>62</v>
      </c>
    </row>
    <row r="992">
      <c r="A992" s="53"/>
      <c r="B992" s="53"/>
      <c r="G992" s="68" t="s">
        <v>62</v>
      </c>
    </row>
    <row r="993">
      <c r="A993" s="53"/>
      <c r="B993" s="53"/>
      <c r="G993" s="68" t="s">
        <v>62</v>
      </c>
    </row>
    <row r="994">
      <c r="A994" s="53"/>
      <c r="B994" s="53"/>
      <c r="G994" s="68" t="s">
        <v>62</v>
      </c>
    </row>
    <row r="995">
      <c r="A995" s="53"/>
      <c r="B995" s="53"/>
      <c r="G995" s="68" t="s">
        <v>62</v>
      </c>
    </row>
    <row r="996">
      <c r="A996" s="53"/>
      <c r="B996" s="53"/>
      <c r="G996" s="68" t="s">
        <v>62</v>
      </c>
    </row>
    <row r="997">
      <c r="A997" s="53"/>
      <c r="B997" s="53"/>
      <c r="G997" s="68" t="s">
        <v>62</v>
      </c>
    </row>
    <row r="998">
      <c r="A998" s="53"/>
      <c r="B998" s="53"/>
      <c r="G998" s="68" t="s">
        <v>62</v>
      </c>
    </row>
    <row r="999">
      <c r="A999" s="53"/>
      <c r="B999" s="53"/>
      <c r="G999" s="68" t="s">
        <v>62</v>
      </c>
    </row>
    <row r="1000">
      <c r="A1000" s="53"/>
      <c r="B1000" s="53"/>
      <c r="G1000" s="68" t="s">
        <v>62</v>
      </c>
    </row>
    <row r="1001">
      <c r="A1001" s="53"/>
      <c r="B1001" s="53"/>
      <c r="G1001" s="68" t="s">
        <v>62</v>
      </c>
    </row>
    <row r="1002">
      <c r="A1002" s="53"/>
      <c r="B1002" s="53"/>
      <c r="G1002" s="68" t="s">
        <v>62</v>
      </c>
    </row>
    <row r="1003">
      <c r="A1003" s="53"/>
      <c r="B1003" s="53"/>
      <c r="G1003" s="68" t="s">
        <v>62</v>
      </c>
    </row>
    <row r="1004">
      <c r="A1004" s="53"/>
      <c r="B1004" s="53"/>
      <c r="G1004" s="68" t="s">
        <v>62</v>
      </c>
    </row>
    <row r="1005">
      <c r="A1005" s="53"/>
      <c r="B1005" s="53"/>
      <c r="G1005" s="68" t="s">
        <v>62</v>
      </c>
    </row>
    <row r="1006">
      <c r="A1006" s="53"/>
      <c r="B1006" s="53"/>
      <c r="G1006" s="68" t="s">
        <v>62</v>
      </c>
    </row>
    <row r="1007">
      <c r="A1007" s="53"/>
      <c r="B1007" s="53"/>
      <c r="G1007" s="68" t="s">
        <v>62</v>
      </c>
    </row>
    <row r="1008">
      <c r="A1008" s="53"/>
      <c r="B1008" s="53"/>
      <c r="G1008" s="68" t="s">
        <v>62</v>
      </c>
    </row>
    <row r="1009">
      <c r="A1009" s="53"/>
      <c r="B1009" s="53"/>
      <c r="G1009" s="68" t="s">
        <v>62</v>
      </c>
    </row>
    <row r="1010">
      <c r="A1010" s="53"/>
      <c r="B1010" s="53"/>
      <c r="G1010" s="68" t="s">
        <v>62</v>
      </c>
    </row>
    <row r="1011">
      <c r="A1011" s="53"/>
      <c r="B1011" s="53"/>
      <c r="G1011" s="68" t="s">
        <v>62</v>
      </c>
    </row>
    <row r="1012">
      <c r="A1012" s="53"/>
      <c r="B1012" s="53"/>
      <c r="G1012" s="68" t="s">
        <v>62</v>
      </c>
    </row>
    <row r="1013">
      <c r="A1013" s="53"/>
      <c r="B1013" s="53"/>
      <c r="G1013" s="68" t="s">
        <v>62</v>
      </c>
    </row>
    <row r="1014">
      <c r="A1014" s="53"/>
      <c r="B1014" s="53"/>
      <c r="G1014" s="68" t="s">
        <v>62</v>
      </c>
    </row>
    <row r="1015">
      <c r="A1015" s="53"/>
      <c r="B1015" s="53"/>
      <c r="G1015" s="68" t="s">
        <v>62</v>
      </c>
    </row>
    <row r="1016">
      <c r="A1016" s="53"/>
      <c r="B1016" s="53"/>
      <c r="G1016" s="68" t="s">
        <v>62</v>
      </c>
    </row>
    <row r="1017">
      <c r="A1017" s="53"/>
      <c r="B1017" s="53"/>
      <c r="G1017" s="68" t="s">
        <v>62</v>
      </c>
    </row>
    <row r="1018">
      <c r="A1018" s="53"/>
      <c r="B1018" s="53"/>
      <c r="G1018" s="68" t="s">
        <v>62</v>
      </c>
    </row>
    <row r="1019">
      <c r="A1019" s="53"/>
      <c r="B1019" s="53"/>
      <c r="G1019" s="68" t="s">
        <v>62</v>
      </c>
    </row>
    <row r="1020">
      <c r="A1020" s="53"/>
      <c r="B1020" s="53"/>
      <c r="G1020" s="68" t="s">
        <v>62</v>
      </c>
    </row>
    <row r="1021">
      <c r="A1021" s="53"/>
      <c r="B1021" s="53"/>
      <c r="G1021" s="68" t="s">
        <v>62</v>
      </c>
    </row>
    <row r="1022">
      <c r="A1022" s="53"/>
      <c r="B1022" s="53"/>
      <c r="G1022" s="68" t="s">
        <v>62</v>
      </c>
    </row>
    <row r="1023">
      <c r="A1023" s="53"/>
      <c r="B1023" s="53"/>
      <c r="G1023" s="68" t="s">
        <v>62</v>
      </c>
    </row>
    <row r="1024">
      <c r="A1024" s="53"/>
      <c r="B1024" s="53"/>
      <c r="G1024" s="68" t="s">
        <v>62</v>
      </c>
    </row>
    <row r="1025">
      <c r="A1025" s="53"/>
      <c r="B1025" s="53"/>
      <c r="G1025" s="68" t="s">
        <v>62</v>
      </c>
    </row>
    <row r="1026">
      <c r="A1026" s="53"/>
      <c r="B1026" s="53"/>
      <c r="G1026" s="68" t="s">
        <v>62</v>
      </c>
    </row>
    <row r="1027">
      <c r="A1027" s="53"/>
      <c r="B1027" s="53"/>
      <c r="G1027" s="68" t="s">
        <v>62</v>
      </c>
    </row>
    <row r="1028">
      <c r="A1028" s="53"/>
      <c r="B1028" s="53"/>
      <c r="G1028" s="68" t="s">
        <v>62</v>
      </c>
    </row>
    <row r="1029">
      <c r="A1029" s="53"/>
      <c r="B1029" s="53"/>
      <c r="G1029" s="68" t="s">
        <v>62</v>
      </c>
    </row>
    <row r="1030">
      <c r="A1030" s="53"/>
      <c r="B1030" s="53"/>
      <c r="G1030" s="68" t="s">
        <v>62</v>
      </c>
    </row>
    <row r="1031">
      <c r="A1031" s="53"/>
      <c r="B1031" s="53"/>
      <c r="G1031" s="68" t="s">
        <v>62</v>
      </c>
    </row>
    <row r="1032">
      <c r="A1032" s="53"/>
      <c r="B1032" s="53"/>
      <c r="G1032" s="68" t="s">
        <v>62</v>
      </c>
    </row>
    <row r="1033">
      <c r="A1033" s="53"/>
      <c r="B1033" s="53"/>
      <c r="G1033" s="68" t="s">
        <v>62</v>
      </c>
    </row>
    <row r="1034">
      <c r="A1034" s="53"/>
      <c r="B1034" s="53"/>
      <c r="G1034" s="68" t="s">
        <v>62</v>
      </c>
    </row>
    <row r="1035">
      <c r="A1035" s="53"/>
      <c r="B1035" s="53"/>
      <c r="G1035" s="68" t="s">
        <v>62</v>
      </c>
    </row>
    <row r="1036">
      <c r="A1036" s="53"/>
      <c r="B1036" s="53"/>
      <c r="G1036" s="68" t="s">
        <v>62</v>
      </c>
    </row>
    <row r="1037">
      <c r="A1037" s="53"/>
      <c r="B1037" s="53"/>
      <c r="G1037" s="68" t="s">
        <v>62</v>
      </c>
    </row>
    <row r="1038">
      <c r="A1038" s="53"/>
      <c r="B1038" s="53"/>
      <c r="G1038" s="68" t="s">
        <v>62</v>
      </c>
    </row>
    <row r="1039">
      <c r="A1039" s="53"/>
      <c r="B1039" s="53"/>
      <c r="G1039" s="68" t="s">
        <v>62</v>
      </c>
    </row>
    <row r="1040">
      <c r="A1040" s="53"/>
      <c r="B1040" s="53"/>
      <c r="G1040" s="68" t="s">
        <v>62</v>
      </c>
    </row>
    <row r="1041">
      <c r="A1041" s="53"/>
      <c r="B1041" s="53"/>
      <c r="G1041" s="68" t="s">
        <v>62</v>
      </c>
    </row>
    <row r="1042">
      <c r="A1042" s="53"/>
      <c r="B1042" s="53"/>
      <c r="G1042" s="68" t="s">
        <v>62</v>
      </c>
    </row>
    <row r="1043">
      <c r="A1043" s="53"/>
      <c r="B1043" s="53"/>
      <c r="G1043" s="68" t="s">
        <v>62</v>
      </c>
    </row>
    <row r="1044">
      <c r="A1044" s="53"/>
      <c r="B1044" s="53"/>
      <c r="G1044" s="68" t="s">
        <v>62</v>
      </c>
    </row>
    <row r="1045">
      <c r="A1045" s="53"/>
      <c r="B1045" s="53"/>
      <c r="G1045" s="68" t="s">
        <v>62</v>
      </c>
    </row>
    <row r="1046">
      <c r="A1046" s="53"/>
      <c r="B1046" s="53"/>
      <c r="G1046" s="68" t="s">
        <v>62</v>
      </c>
    </row>
    <row r="1047">
      <c r="A1047" s="53"/>
      <c r="B1047" s="53"/>
      <c r="G1047" s="68" t="s">
        <v>62</v>
      </c>
    </row>
    <row r="1048">
      <c r="A1048" s="53"/>
      <c r="B1048" s="53"/>
      <c r="G1048" s="68" t="s">
        <v>62</v>
      </c>
    </row>
    <row r="1049">
      <c r="A1049" s="53"/>
      <c r="B1049" s="53"/>
      <c r="G1049" s="68" t="s">
        <v>62</v>
      </c>
    </row>
    <row r="1050">
      <c r="A1050" s="53"/>
      <c r="B1050" s="53"/>
      <c r="G1050" s="68" t="s">
        <v>62</v>
      </c>
    </row>
    <row r="1051">
      <c r="A1051" s="53"/>
      <c r="B1051" s="53"/>
      <c r="G1051" s="68" t="s">
        <v>62</v>
      </c>
    </row>
    <row r="1052">
      <c r="A1052" s="53"/>
      <c r="B1052" s="53"/>
      <c r="G1052" s="68" t="s">
        <v>62</v>
      </c>
    </row>
    <row r="1053">
      <c r="A1053" s="53"/>
      <c r="B1053" s="53"/>
      <c r="G1053" s="68" t="s">
        <v>62</v>
      </c>
    </row>
    <row r="1054">
      <c r="A1054" s="53"/>
      <c r="B1054" s="53"/>
      <c r="G1054" s="68" t="s">
        <v>62</v>
      </c>
    </row>
    <row r="1055">
      <c r="A1055" s="53"/>
      <c r="B1055" s="53"/>
      <c r="G1055" s="68" t="s">
        <v>62</v>
      </c>
    </row>
    <row r="1056">
      <c r="A1056" s="53"/>
      <c r="B1056" s="53"/>
      <c r="G1056" s="68" t="s">
        <v>62</v>
      </c>
    </row>
    <row r="1057">
      <c r="A1057" s="53"/>
      <c r="B1057" s="53"/>
      <c r="G1057" s="68" t="s">
        <v>62</v>
      </c>
    </row>
    <row r="1058">
      <c r="A1058" s="53"/>
      <c r="B1058" s="53"/>
      <c r="G1058" s="68" t="s">
        <v>62</v>
      </c>
    </row>
    <row r="1059">
      <c r="A1059" s="53"/>
      <c r="B1059" s="53"/>
      <c r="G1059" s="68" t="s">
        <v>62</v>
      </c>
    </row>
    <row r="1060">
      <c r="A1060" s="53"/>
      <c r="B1060" s="53"/>
      <c r="G1060" s="68" t="s">
        <v>62</v>
      </c>
    </row>
    <row r="1061">
      <c r="A1061" s="53"/>
      <c r="B1061" s="53"/>
      <c r="G1061" s="68" t="s">
        <v>62</v>
      </c>
    </row>
    <row r="1062">
      <c r="A1062" s="53"/>
      <c r="B1062" s="53"/>
      <c r="G1062" s="68" t="s">
        <v>62</v>
      </c>
    </row>
    <row r="1063">
      <c r="A1063" s="53"/>
      <c r="B1063" s="53"/>
      <c r="G1063" s="68" t="s">
        <v>62</v>
      </c>
    </row>
    <row r="1064">
      <c r="A1064" s="53"/>
      <c r="B1064" s="53"/>
      <c r="G1064" s="68" t="s">
        <v>62</v>
      </c>
    </row>
    <row r="1065">
      <c r="A1065" s="53"/>
      <c r="B1065" s="53"/>
      <c r="G1065" s="68" t="s">
        <v>62</v>
      </c>
    </row>
    <row r="1066">
      <c r="A1066" s="53"/>
      <c r="B1066" s="53"/>
      <c r="G1066" s="68" t="s">
        <v>62</v>
      </c>
    </row>
    <row r="1067">
      <c r="A1067" s="53"/>
      <c r="B1067" s="53"/>
      <c r="G1067" s="68" t="s">
        <v>62</v>
      </c>
    </row>
    <row r="1068">
      <c r="A1068" s="53"/>
      <c r="B1068" s="53"/>
      <c r="G1068" s="68" t="s">
        <v>62</v>
      </c>
    </row>
    <row r="1069">
      <c r="A1069" s="53"/>
      <c r="B1069" s="53"/>
      <c r="G1069" s="68" t="s">
        <v>62</v>
      </c>
    </row>
    <row r="1070">
      <c r="A1070" s="53"/>
      <c r="B1070" s="53"/>
      <c r="G1070" s="68" t="s">
        <v>62</v>
      </c>
    </row>
    <row r="1071">
      <c r="A1071" s="53"/>
      <c r="B1071" s="53"/>
      <c r="G1071" s="68" t="s">
        <v>62</v>
      </c>
    </row>
    <row r="1072">
      <c r="A1072" s="53"/>
      <c r="B1072" s="53"/>
      <c r="G1072" s="68" t="s">
        <v>62</v>
      </c>
    </row>
    <row r="1073">
      <c r="A1073" s="53"/>
      <c r="B1073" s="53"/>
      <c r="G1073" s="68" t="s">
        <v>62</v>
      </c>
    </row>
    <row r="1074">
      <c r="A1074" s="53"/>
      <c r="B1074" s="53"/>
      <c r="G1074" s="68" t="s">
        <v>62</v>
      </c>
    </row>
    <row r="1075">
      <c r="A1075" s="53"/>
      <c r="B1075" s="53"/>
      <c r="G1075" s="68" t="s">
        <v>62</v>
      </c>
    </row>
    <row r="1076">
      <c r="A1076" s="53"/>
      <c r="B1076" s="53"/>
      <c r="G1076" s="68" t="s">
        <v>62</v>
      </c>
    </row>
    <row r="1077">
      <c r="A1077" s="53"/>
      <c r="B1077" s="53"/>
      <c r="G1077" s="68" t="s">
        <v>62</v>
      </c>
    </row>
    <row r="1078">
      <c r="A1078" s="53"/>
      <c r="B1078" s="53"/>
      <c r="G1078" s="68" t="s">
        <v>62</v>
      </c>
    </row>
    <row r="1079">
      <c r="A1079" s="53"/>
      <c r="B1079" s="53"/>
      <c r="G1079" s="68" t="s">
        <v>62</v>
      </c>
    </row>
    <row r="1080">
      <c r="A1080" s="53"/>
      <c r="B1080" s="53"/>
      <c r="G1080" s="68" t="s">
        <v>62</v>
      </c>
    </row>
    <row r="1081">
      <c r="A1081" s="53"/>
      <c r="B1081" s="53"/>
      <c r="G1081" s="68" t="s">
        <v>62</v>
      </c>
    </row>
    <row r="1082">
      <c r="A1082" s="53"/>
      <c r="B1082" s="53"/>
      <c r="G1082" s="68" t="s">
        <v>62</v>
      </c>
    </row>
    <row r="1083">
      <c r="A1083" s="53"/>
      <c r="B1083" s="53"/>
      <c r="G1083" s="68" t="s">
        <v>62</v>
      </c>
    </row>
    <row r="1084">
      <c r="A1084" s="53"/>
      <c r="B1084" s="53"/>
      <c r="G1084" s="68" t="s">
        <v>62</v>
      </c>
    </row>
    <row r="1085">
      <c r="A1085" s="53"/>
      <c r="B1085" s="53"/>
      <c r="G1085" s="68" t="s">
        <v>62</v>
      </c>
    </row>
    <row r="1086">
      <c r="A1086" s="53"/>
      <c r="B1086" s="53"/>
      <c r="G1086" s="68" t="s">
        <v>62</v>
      </c>
    </row>
    <row r="1087">
      <c r="A1087" s="53"/>
      <c r="B1087" s="53"/>
      <c r="G1087" s="68" t="s">
        <v>62</v>
      </c>
    </row>
    <row r="1088">
      <c r="A1088" s="53"/>
      <c r="B1088" s="53"/>
      <c r="G1088" s="68" t="s">
        <v>62</v>
      </c>
    </row>
    <row r="1089">
      <c r="A1089" s="53"/>
      <c r="B1089" s="53"/>
      <c r="G1089" s="68" t="s">
        <v>62</v>
      </c>
    </row>
    <row r="1090">
      <c r="A1090" s="53"/>
      <c r="B1090" s="53"/>
      <c r="G1090" s="68" t="s">
        <v>62</v>
      </c>
    </row>
    <row r="1091">
      <c r="A1091" s="53"/>
      <c r="B1091" s="53"/>
      <c r="G1091" s="68" t="s">
        <v>62</v>
      </c>
    </row>
    <row r="1092">
      <c r="A1092" s="53"/>
      <c r="B1092" s="53"/>
      <c r="G1092" s="68" t="s">
        <v>62</v>
      </c>
    </row>
    <row r="1093">
      <c r="A1093" s="53"/>
      <c r="B1093" s="53"/>
      <c r="G1093" s="68" t="s">
        <v>62</v>
      </c>
    </row>
    <row r="1094">
      <c r="A1094" s="53"/>
      <c r="B1094" s="53"/>
      <c r="G1094" s="68" t="s">
        <v>62</v>
      </c>
    </row>
    <row r="1095">
      <c r="A1095" s="53"/>
      <c r="B1095" s="53"/>
      <c r="G1095" s="68" t="s">
        <v>62</v>
      </c>
    </row>
    <row r="1096">
      <c r="A1096" s="53"/>
      <c r="B1096" s="53"/>
      <c r="G1096" s="68" t="s">
        <v>62</v>
      </c>
    </row>
    <row r="1097">
      <c r="A1097" s="53"/>
      <c r="B1097" s="53"/>
      <c r="G1097" s="68" t="s">
        <v>62</v>
      </c>
    </row>
    <row r="1098">
      <c r="A1098" s="53"/>
      <c r="B1098" s="53"/>
      <c r="G1098" s="68" t="s">
        <v>62</v>
      </c>
    </row>
    <row r="1099">
      <c r="A1099" s="53"/>
      <c r="B1099" s="53"/>
      <c r="G1099" s="68" t="s">
        <v>62</v>
      </c>
    </row>
    <row r="1100">
      <c r="A1100" s="53"/>
      <c r="B1100" s="53"/>
      <c r="G1100" s="68" t="s">
        <v>62</v>
      </c>
    </row>
    <row r="1101">
      <c r="A1101" s="53"/>
      <c r="B1101" s="53"/>
      <c r="G1101" s="68" t="s">
        <v>62</v>
      </c>
    </row>
    <row r="1102">
      <c r="A1102" s="53"/>
      <c r="B1102" s="53"/>
      <c r="G1102" s="68" t="s">
        <v>62</v>
      </c>
    </row>
    <row r="1103">
      <c r="A1103" s="53"/>
      <c r="B1103" s="53"/>
      <c r="G1103" s="68" t="s">
        <v>62</v>
      </c>
    </row>
    <row r="1104">
      <c r="A1104" s="53"/>
      <c r="B1104" s="53"/>
      <c r="G1104" s="68" t="s">
        <v>62</v>
      </c>
    </row>
    <row r="1105">
      <c r="A1105" s="53"/>
      <c r="B1105" s="53"/>
      <c r="G1105" s="68" t="s">
        <v>62</v>
      </c>
    </row>
    <row r="1106">
      <c r="A1106" s="53"/>
      <c r="B1106" s="53"/>
      <c r="G1106" s="68" t="s">
        <v>62</v>
      </c>
    </row>
    <row r="1107">
      <c r="A1107" s="53"/>
      <c r="B1107" s="53"/>
      <c r="G1107" s="68" t="s">
        <v>62</v>
      </c>
    </row>
    <row r="1108">
      <c r="A1108" s="53"/>
      <c r="B1108" s="53"/>
      <c r="G1108" s="68" t="s">
        <v>62</v>
      </c>
    </row>
    <row r="1109">
      <c r="A1109" s="53"/>
      <c r="B1109" s="53"/>
      <c r="G1109" s="68" t="s">
        <v>62</v>
      </c>
    </row>
    <row r="1110">
      <c r="A1110" s="53"/>
      <c r="B1110" s="53"/>
      <c r="G1110" s="68" t="s">
        <v>62</v>
      </c>
    </row>
    <row r="1111">
      <c r="A1111" s="53"/>
      <c r="B1111" s="53"/>
      <c r="G1111" s="68" t="s">
        <v>62</v>
      </c>
    </row>
    <row r="1112">
      <c r="A1112" s="53"/>
      <c r="B1112" s="53"/>
      <c r="G1112" s="68" t="s">
        <v>62</v>
      </c>
    </row>
    <row r="1113">
      <c r="A1113" s="53"/>
      <c r="B1113" s="53"/>
      <c r="G1113" s="68" t="s">
        <v>62</v>
      </c>
    </row>
    <row r="1114">
      <c r="A1114" s="53"/>
      <c r="B1114" s="53"/>
      <c r="G1114" s="68" t="s">
        <v>62</v>
      </c>
    </row>
    <row r="1115">
      <c r="A1115" s="53"/>
      <c r="B1115" s="53"/>
      <c r="G1115" s="68" t="s">
        <v>62</v>
      </c>
    </row>
    <row r="1116">
      <c r="A1116" s="53"/>
      <c r="B1116" s="53"/>
      <c r="G1116" s="68" t="s">
        <v>62</v>
      </c>
    </row>
    <row r="1117">
      <c r="A1117" s="53"/>
      <c r="B1117" s="53"/>
      <c r="G1117" s="68" t="s">
        <v>62</v>
      </c>
    </row>
    <row r="1118">
      <c r="A1118" s="53"/>
      <c r="B1118" s="53"/>
      <c r="G1118" s="68" t="s">
        <v>62</v>
      </c>
    </row>
    <row r="1119">
      <c r="A1119" s="53"/>
      <c r="B1119" s="53"/>
      <c r="G1119" s="68" t="s">
        <v>62</v>
      </c>
    </row>
    <row r="1120">
      <c r="A1120" s="53"/>
      <c r="B1120" s="53"/>
      <c r="G1120" s="68" t="s">
        <v>62</v>
      </c>
    </row>
    <row r="1121">
      <c r="A1121" s="53"/>
      <c r="B1121" s="53"/>
      <c r="G1121" s="68" t="s">
        <v>62</v>
      </c>
    </row>
    <row r="1122">
      <c r="A1122" s="53"/>
      <c r="B1122" s="53"/>
      <c r="G1122" s="68" t="s">
        <v>62</v>
      </c>
    </row>
    <row r="1123">
      <c r="A1123" s="53"/>
      <c r="B1123" s="53"/>
      <c r="G1123" s="68" t="s">
        <v>62</v>
      </c>
    </row>
    <row r="1124">
      <c r="A1124" s="53"/>
      <c r="B1124" s="53"/>
      <c r="G1124" s="68" t="s">
        <v>62</v>
      </c>
    </row>
    <row r="1125">
      <c r="A1125" s="53"/>
      <c r="B1125" s="53"/>
      <c r="G1125" s="68" t="s">
        <v>62</v>
      </c>
    </row>
    <row r="1126">
      <c r="A1126" s="53"/>
      <c r="B1126" s="53"/>
      <c r="G1126" s="68" t="s">
        <v>62</v>
      </c>
    </row>
    <row r="1127">
      <c r="A1127" s="53"/>
      <c r="B1127" s="53"/>
      <c r="G1127" s="68" t="s">
        <v>62</v>
      </c>
    </row>
    <row r="1128">
      <c r="A1128" s="53"/>
      <c r="B1128" s="53"/>
      <c r="G1128" s="68" t="s">
        <v>62</v>
      </c>
    </row>
    <row r="1129">
      <c r="A1129" s="53"/>
      <c r="B1129" s="53"/>
      <c r="G1129" s="68" t="s">
        <v>62</v>
      </c>
    </row>
    <row r="1130">
      <c r="A1130" s="53"/>
      <c r="B1130" s="53"/>
      <c r="G1130" s="68" t="s">
        <v>62</v>
      </c>
    </row>
    <row r="1131">
      <c r="A1131" s="53"/>
      <c r="B1131" s="53"/>
      <c r="G1131" s="68" t="s">
        <v>62</v>
      </c>
    </row>
    <row r="1132">
      <c r="A1132" s="53"/>
      <c r="B1132" s="53"/>
      <c r="G1132" s="68" t="s">
        <v>62</v>
      </c>
    </row>
    <row r="1133">
      <c r="A1133" s="53"/>
      <c r="B1133" s="53"/>
      <c r="G1133" s="68" t="s">
        <v>62</v>
      </c>
    </row>
    <row r="1134">
      <c r="A1134" s="53"/>
      <c r="B1134" s="53"/>
      <c r="G1134" s="68" t="s">
        <v>62</v>
      </c>
    </row>
    <row r="1135">
      <c r="A1135" s="53"/>
      <c r="B1135" s="53"/>
      <c r="G1135" s="68" t="s">
        <v>62</v>
      </c>
    </row>
    <row r="1136">
      <c r="A1136" s="53"/>
      <c r="B1136" s="53"/>
      <c r="G1136" s="68" t="s">
        <v>62</v>
      </c>
    </row>
    <row r="1137">
      <c r="A1137" s="53"/>
      <c r="B1137" s="53"/>
      <c r="G1137" s="68" t="s">
        <v>62</v>
      </c>
    </row>
    <row r="1138">
      <c r="A1138" s="53"/>
      <c r="B1138" s="53"/>
      <c r="G1138" s="68" t="s">
        <v>62</v>
      </c>
    </row>
    <row r="1139">
      <c r="A1139" s="53"/>
      <c r="B1139" s="53"/>
      <c r="G1139" s="68" t="s">
        <v>62</v>
      </c>
    </row>
    <row r="1140">
      <c r="A1140" s="53"/>
      <c r="B1140" s="53"/>
      <c r="G1140" s="68" t="s">
        <v>62</v>
      </c>
    </row>
    <row r="1141">
      <c r="A1141" s="53"/>
      <c r="B1141" s="53"/>
      <c r="G1141" s="68" t="s">
        <v>62</v>
      </c>
    </row>
    <row r="1142">
      <c r="A1142" s="53"/>
      <c r="B1142" s="53"/>
      <c r="G1142" s="68" t="s">
        <v>62</v>
      </c>
    </row>
    <row r="1143">
      <c r="A1143" s="53"/>
      <c r="B1143" s="53"/>
      <c r="G1143" s="68" t="s">
        <v>62</v>
      </c>
    </row>
    <row r="1144">
      <c r="A1144" s="53"/>
      <c r="B1144" s="53"/>
      <c r="G1144" s="68" t="s">
        <v>62</v>
      </c>
    </row>
    <row r="1145">
      <c r="A1145" s="53"/>
      <c r="B1145" s="53"/>
      <c r="G1145" s="68" t="s">
        <v>62</v>
      </c>
    </row>
    <row r="1146">
      <c r="A1146" s="53"/>
      <c r="B1146" s="53"/>
      <c r="G1146" s="68" t="s">
        <v>62</v>
      </c>
    </row>
    <row r="1147">
      <c r="A1147" s="53"/>
      <c r="B1147" s="53"/>
      <c r="G1147" s="68" t="s">
        <v>62</v>
      </c>
    </row>
    <row r="1148">
      <c r="A1148" s="53"/>
      <c r="B1148" s="53"/>
      <c r="G1148" s="68" t="s">
        <v>62</v>
      </c>
    </row>
    <row r="1149">
      <c r="A1149" s="53"/>
      <c r="B1149" s="53"/>
      <c r="G1149" s="68" t="s">
        <v>62</v>
      </c>
    </row>
    <row r="1150">
      <c r="A1150" s="53"/>
      <c r="B1150" s="53"/>
      <c r="G1150" s="68" t="s">
        <v>62</v>
      </c>
    </row>
    <row r="1151">
      <c r="A1151" s="53"/>
      <c r="B1151" s="53"/>
      <c r="G1151" s="68" t="s">
        <v>62</v>
      </c>
    </row>
    <row r="1152">
      <c r="A1152" s="53"/>
      <c r="B1152" s="53"/>
      <c r="G1152" s="68" t="s">
        <v>62</v>
      </c>
    </row>
    <row r="1153">
      <c r="A1153" s="53"/>
      <c r="B1153" s="53"/>
      <c r="G1153" s="68" t="s">
        <v>62</v>
      </c>
    </row>
    <row r="1154">
      <c r="A1154" s="53"/>
      <c r="B1154" s="53"/>
      <c r="G1154" s="68" t="s">
        <v>62</v>
      </c>
    </row>
    <row r="1155">
      <c r="A1155" s="53"/>
      <c r="B1155" s="53"/>
      <c r="G1155" s="68" t="s">
        <v>62</v>
      </c>
    </row>
    <row r="1156">
      <c r="A1156" s="53"/>
      <c r="B1156" s="53"/>
      <c r="G1156" s="68" t="s">
        <v>62</v>
      </c>
    </row>
    <row r="1157">
      <c r="A1157" s="53"/>
      <c r="B1157" s="53"/>
      <c r="G1157" s="68" t="s">
        <v>62</v>
      </c>
    </row>
    <row r="1158">
      <c r="A1158" s="53"/>
      <c r="B1158" s="53"/>
      <c r="G1158" s="68" t="s">
        <v>62</v>
      </c>
    </row>
    <row r="1159">
      <c r="A1159" s="53"/>
      <c r="B1159" s="53"/>
      <c r="G1159" s="68" t="s">
        <v>62</v>
      </c>
    </row>
    <row r="1160">
      <c r="A1160" s="53"/>
      <c r="B1160" s="53"/>
      <c r="G1160" s="68" t="s">
        <v>62</v>
      </c>
    </row>
    <row r="1161">
      <c r="A1161" s="53"/>
      <c r="B1161" s="53"/>
      <c r="G1161" s="68" t="s">
        <v>62</v>
      </c>
    </row>
    <row r="1162">
      <c r="A1162" s="53"/>
      <c r="B1162" s="53"/>
      <c r="G1162" s="68" t="s">
        <v>62</v>
      </c>
    </row>
    <row r="1163">
      <c r="A1163" s="53"/>
      <c r="B1163" s="53"/>
      <c r="G1163" s="68" t="s">
        <v>62</v>
      </c>
    </row>
    <row r="1164">
      <c r="A1164" s="53"/>
      <c r="B1164" s="53"/>
      <c r="G1164" s="68" t="s">
        <v>62</v>
      </c>
    </row>
    <row r="1165">
      <c r="A1165" s="53"/>
      <c r="B1165" s="53"/>
      <c r="G1165" s="68" t="s">
        <v>62</v>
      </c>
    </row>
    <row r="1166">
      <c r="A1166" s="53"/>
      <c r="B1166" s="53"/>
      <c r="G1166" s="68" t="s">
        <v>62</v>
      </c>
    </row>
    <row r="1167">
      <c r="A1167" s="53"/>
      <c r="B1167" s="53"/>
      <c r="G1167" s="68" t="s">
        <v>62</v>
      </c>
    </row>
    <row r="1168">
      <c r="A1168" s="53"/>
      <c r="B1168" s="53"/>
      <c r="G1168" s="68" t="s">
        <v>62</v>
      </c>
    </row>
    <row r="1169">
      <c r="A1169" s="53"/>
      <c r="B1169" s="53"/>
      <c r="G1169" s="68" t="s">
        <v>62</v>
      </c>
    </row>
    <row r="1170">
      <c r="A1170" s="53"/>
      <c r="B1170" s="53"/>
      <c r="G1170" s="68" t="s">
        <v>62</v>
      </c>
    </row>
    <row r="1171">
      <c r="A1171" s="53"/>
      <c r="B1171" s="53"/>
      <c r="G1171" s="68" t="s">
        <v>62</v>
      </c>
    </row>
    <row r="1172">
      <c r="A1172" s="53"/>
      <c r="B1172" s="53"/>
      <c r="G1172" s="68" t="s">
        <v>62</v>
      </c>
    </row>
    <row r="1173">
      <c r="A1173" s="53"/>
      <c r="B1173" s="53"/>
      <c r="G1173" s="68" t="s">
        <v>62</v>
      </c>
    </row>
    <row r="1174">
      <c r="A1174" s="53"/>
      <c r="B1174" s="53"/>
      <c r="G1174" s="68" t="s">
        <v>62</v>
      </c>
    </row>
    <row r="1175">
      <c r="A1175" s="53"/>
      <c r="B1175" s="53"/>
      <c r="G1175" s="68" t="s">
        <v>62</v>
      </c>
    </row>
    <row r="1176">
      <c r="A1176" s="53"/>
      <c r="B1176" s="53"/>
      <c r="G1176" s="68" t="s">
        <v>62</v>
      </c>
    </row>
    <row r="1177">
      <c r="A1177" s="53"/>
      <c r="B1177" s="53"/>
      <c r="G1177" s="68" t="s">
        <v>62</v>
      </c>
    </row>
    <row r="1178">
      <c r="A1178" s="53"/>
      <c r="B1178" s="53"/>
      <c r="G1178" s="68" t="s">
        <v>62</v>
      </c>
    </row>
    <row r="1179">
      <c r="A1179" s="53"/>
      <c r="B1179" s="53"/>
      <c r="G1179" s="68" t="s">
        <v>62</v>
      </c>
    </row>
    <row r="1180">
      <c r="A1180" s="53"/>
      <c r="B1180" s="53"/>
      <c r="G1180" s="68" t="s">
        <v>62</v>
      </c>
    </row>
    <row r="1181">
      <c r="A1181" s="53"/>
      <c r="B1181" s="53"/>
      <c r="G1181" s="68" t="s">
        <v>62</v>
      </c>
    </row>
    <row r="1182">
      <c r="A1182" s="53"/>
      <c r="B1182" s="53"/>
      <c r="G1182" s="68" t="s">
        <v>62</v>
      </c>
    </row>
    <row r="1183">
      <c r="A1183" s="53"/>
      <c r="B1183" s="53"/>
      <c r="G1183" s="68" t="s">
        <v>62</v>
      </c>
    </row>
    <row r="1184">
      <c r="A1184" s="53"/>
      <c r="B1184" s="53"/>
      <c r="G1184" s="68" t="s">
        <v>62</v>
      </c>
    </row>
    <row r="1185">
      <c r="A1185" s="53"/>
      <c r="B1185" s="53"/>
      <c r="G1185" s="68" t="s">
        <v>62</v>
      </c>
    </row>
    <row r="1186">
      <c r="A1186" s="53"/>
      <c r="B1186" s="53"/>
      <c r="G1186" s="68" t="s">
        <v>62</v>
      </c>
    </row>
    <row r="1187">
      <c r="A1187" s="53"/>
      <c r="B1187" s="53"/>
      <c r="G1187" s="68" t="s">
        <v>62</v>
      </c>
    </row>
    <row r="1188">
      <c r="A1188" s="53"/>
      <c r="B1188" s="53"/>
      <c r="G1188" s="68" t="s">
        <v>62</v>
      </c>
    </row>
    <row r="1189">
      <c r="A1189" s="53"/>
      <c r="B1189" s="53"/>
      <c r="G1189" s="68" t="s">
        <v>62</v>
      </c>
    </row>
    <row r="1190">
      <c r="A1190" s="53"/>
      <c r="B1190" s="53"/>
      <c r="G1190" s="68" t="s">
        <v>62</v>
      </c>
    </row>
    <row r="1191">
      <c r="A1191" s="53"/>
      <c r="B1191" s="53"/>
      <c r="G1191" s="68" t="s">
        <v>62</v>
      </c>
    </row>
    <row r="1192">
      <c r="A1192" s="53"/>
      <c r="B1192" s="53"/>
      <c r="G1192" s="68" t="s">
        <v>62</v>
      </c>
    </row>
    <row r="1193">
      <c r="A1193" s="53"/>
      <c r="B1193" s="53"/>
      <c r="G1193" s="68" t="s">
        <v>62</v>
      </c>
    </row>
    <row r="1194">
      <c r="A1194" s="53"/>
      <c r="B1194" s="53"/>
      <c r="G1194" s="68" t="s">
        <v>62</v>
      </c>
    </row>
    <row r="1195">
      <c r="A1195" s="53"/>
      <c r="B1195" s="53"/>
      <c r="G1195" s="68" t="s">
        <v>62</v>
      </c>
    </row>
    <row r="1196">
      <c r="A1196" s="53"/>
      <c r="B1196" s="53"/>
      <c r="G1196" s="68" t="s">
        <v>62</v>
      </c>
    </row>
    <row r="1197">
      <c r="A1197" s="53"/>
      <c r="B1197" s="53"/>
      <c r="G1197" s="68" t="s">
        <v>62</v>
      </c>
    </row>
    <row r="1198">
      <c r="A1198" s="53"/>
      <c r="B1198" s="53"/>
      <c r="G1198" s="68" t="s">
        <v>62</v>
      </c>
    </row>
    <row r="1199">
      <c r="A1199" s="53"/>
      <c r="B1199" s="53"/>
      <c r="G1199" s="68" t="s">
        <v>62</v>
      </c>
    </row>
    <row r="1200">
      <c r="A1200" s="53"/>
      <c r="B1200" s="53"/>
      <c r="G1200" s="68" t="s">
        <v>62</v>
      </c>
    </row>
    <row r="1201">
      <c r="A1201" s="53"/>
      <c r="B1201" s="53"/>
      <c r="G1201" s="68" t="s">
        <v>62</v>
      </c>
    </row>
    <row r="1202">
      <c r="A1202" s="53"/>
      <c r="B1202" s="53"/>
      <c r="G1202" s="68" t="s">
        <v>62</v>
      </c>
    </row>
    <row r="1203">
      <c r="A1203" s="53"/>
      <c r="B1203" s="53"/>
      <c r="G1203" s="68" t="s">
        <v>62</v>
      </c>
    </row>
    <row r="1204">
      <c r="A1204" s="53"/>
      <c r="B1204" s="53"/>
      <c r="G1204" s="68" t="s">
        <v>62</v>
      </c>
    </row>
    <row r="1205">
      <c r="A1205" s="53"/>
      <c r="B1205" s="53"/>
      <c r="G1205" s="68" t="s">
        <v>62</v>
      </c>
    </row>
    <row r="1206">
      <c r="A1206" s="53"/>
      <c r="B1206" s="53"/>
      <c r="G1206" s="68" t="s">
        <v>62</v>
      </c>
    </row>
    <row r="1207">
      <c r="A1207" s="53"/>
      <c r="B1207" s="53"/>
      <c r="G1207" s="68" t="s">
        <v>62</v>
      </c>
    </row>
    <row r="1208">
      <c r="A1208" s="53"/>
      <c r="B1208" s="53"/>
      <c r="G1208" s="68" t="s">
        <v>62</v>
      </c>
    </row>
    <row r="1209">
      <c r="A1209" s="53"/>
      <c r="B1209" s="53"/>
      <c r="G1209" s="68" t="s">
        <v>62</v>
      </c>
    </row>
    <row r="1210">
      <c r="A1210" s="53"/>
      <c r="B1210" s="53"/>
      <c r="G1210" s="68" t="s">
        <v>62</v>
      </c>
    </row>
    <row r="1211">
      <c r="A1211" s="53"/>
      <c r="B1211" s="53"/>
      <c r="G1211" s="68" t="s">
        <v>62</v>
      </c>
    </row>
    <row r="1212">
      <c r="A1212" s="53"/>
      <c r="B1212" s="53"/>
      <c r="G1212" s="68" t="s">
        <v>62</v>
      </c>
    </row>
    <row r="1213">
      <c r="A1213" s="53"/>
      <c r="B1213" s="53"/>
      <c r="G1213" s="68" t="s">
        <v>62</v>
      </c>
    </row>
    <row r="1214">
      <c r="A1214" s="53"/>
      <c r="B1214" s="53"/>
      <c r="G1214" s="68" t="s">
        <v>62</v>
      </c>
    </row>
    <row r="1215">
      <c r="A1215" s="53"/>
      <c r="B1215" s="53"/>
      <c r="G1215" s="68" t="s">
        <v>62</v>
      </c>
    </row>
    <row r="1216">
      <c r="A1216" s="53"/>
      <c r="B1216" s="53"/>
      <c r="G1216" s="68" t="s">
        <v>62</v>
      </c>
    </row>
    <row r="1217">
      <c r="A1217" s="53"/>
      <c r="B1217" s="53"/>
      <c r="G1217" s="68" t="s">
        <v>62</v>
      </c>
    </row>
    <row r="1218">
      <c r="A1218" s="53"/>
      <c r="B1218" s="53"/>
      <c r="G1218" s="68" t="s">
        <v>62</v>
      </c>
    </row>
    <row r="1219">
      <c r="A1219" s="53"/>
      <c r="B1219" s="53"/>
      <c r="G1219" s="68" t="s">
        <v>62</v>
      </c>
    </row>
    <row r="1220">
      <c r="A1220" s="53"/>
      <c r="B1220" s="53"/>
      <c r="G1220" s="68" t="s">
        <v>62</v>
      </c>
    </row>
    <row r="1221">
      <c r="A1221" s="53"/>
      <c r="B1221" s="53"/>
      <c r="G1221" s="68" t="s">
        <v>62</v>
      </c>
    </row>
    <row r="1222">
      <c r="A1222" s="53"/>
      <c r="B1222" s="53"/>
      <c r="G1222" s="68" t="s">
        <v>62</v>
      </c>
    </row>
    <row r="1223">
      <c r="A1223" s="53"/>
      <c r="B1223" s="53"/>
      <c r="G1223" s="68" t="s">
        <v>62</v>
      </c>
    </row>
    <row r="1224">
      <c r="A1224" s="53"/>
      <c r="B1224" s="53"/>
      <c r="G1224" s="68" t="s">
        <v>62</v>
      </c>
    </row>
    <row r="1225">
      <c r="A1225" s="53"/>
      <c r="B1225" s="53"/>
      <c r="G1225" s="68" t="s">
        <v>62</v>
      </c>
    </row>
    <row r="1226">
      <c r="A1226" s="53"/>
      <c r="B1226" s="53"/>
      <c r="G1226" s="68" t="s">
        <v>62</v>
      </c>
    </row>
    <row r="1227">
      <c r="A1227" s="53"/>
      <c r="B1227" s="53"/>
      <c r="G1227" s="68" t="s">
        <v>62</v>
      </c>
    </row>
    <row r="1228">
      <c r="A1228" s="53"/>
      <c r="B1228" s="53"/>
      <c r="G1228" s="68" t="s">
        <v>62</v>
      </c>
    </row>
    <row r="1229">
      <c r="A1229" s="53"/>
      <c r="B1229" s="53"/>
      <c r="G1229" s="68" t="s">
        <v>62</v>
      </c>
    </row>
    <row r="1230">
      <c r="A1230" s="53"/>
      <c r="B1230" s="53"/>
      <c r="G1230" s="68" t="s">
        <v>62</v>
      </c>
    </row>
    <row r="1231">
      <c r="A1231" s="53"/>
      <c r="B1231" s="53"/>
      <c r="G1231" s="68" t="s">
        <v>62</v>
      </c>
    </row>
    <row r="1232">
      <c r="A1232" s="53"/>
      <c r="B1232" s="53"/>
      <c r="G1232" s="68" t="s">
        <v>62</v>
      </c>
    </row>
    <row r="1233">
      <c r="A1233" s="53"/>
      <c r="B1233" s="53"/>
      <c r="G1233" s="68" t="s">
        <v>62</v>
      </c>
    </row>
    <row r="1234">
      <c r="A1234" s="53"/>
      <c r="B1234" s="53"/>
      <c r="G1234" s="68" t="s">
        <v>62</v>
      </c>
    </row>
    <row r="1235">
      <c r="A1235" s="53"/>
      <c r="B1235" s="53"/>
      <c r="G1235" s="68" t="s">
        <v>62</v>
      </c>
    </row>
    <row r="1236">
      <c r="A1236" s="53"/>
      <c r="B1236" s="53"/>
      <c r="G1236" s="68" t="s">
        <v>62</v>
      </c>
    </row>
    <row r="1237">
      <c r="A1237" s="53"/>
      <c r="B1237" s="53"/>
      <c r="G1237" s="68" t="s">
        <v>62</v>
      </c>
    </row>
    <row r="1238">
      <c r="A1238" s="53"/>
      <c r="B1238" s="53"/>
      <c r="G1238" s="68" t="s">
        <v>62</v>
      </c>
    </row>
    <row r="1239">
      <c r="A1239" s="53"/>
      <c r="B1239" s="53"/>
      <c r="G1239" s="68" t="s">
        <v>62</v>
      </c>
    </row>
    <row r="1240">
      <c r="A1240" s="53"/>
      <c r="B1240" s="53"/>
      <c r="G1240" s="68" t="s">
        <v>62</v>
      </c>
    </row>
    <row r="1241">
      <c r="A1241" s="53"/>
      <c r="B1241" s="53"/>
      <c r="G1241" s="68" t="s">
        <v>62</v>
      </c>
    </row>
    <row r="1242">
      <c r="A1242" s="53"/>
      <c r="B1242" s="53"/>
      <c r="G1242" s="68" t="s">
        <v>62</v>
      </c>
    </row>
    <row r="1243">
      <c r="A1243" s="53"/>
      <c r="B1243" s="53"/>
      <c r="G1243" s="68" t="s">
        <v>62</v>
      </c>
    </row>
    <row r="1244">
      <c r="A1244" s="53"/>
      <c r="B1244" s="53"/>
      <c r="G1244" s="68" t="s">
        <v>62</v>
      </c>
    </row>
    <row r="1245">
      <c r="A1245" s="53"/>
      <c r="B1245" s="53"/>
      <c r="G1245" s="68" t="s">
        <v>62</v>
      </c>
    </row>
    <row r="1246">
      <c r="A1246" s="53"/>
      <c r="B1246" s="53"/>
      <c r="G1246" s="68" t="s">
        <v>62</v>
      </c>
    </row>
    <row r="1247">
      <c r="A1247" s="53"/>
      <c r="B1247" s="53"/>
      <c r="G1247" s="68" t="s">
        <v>62</v>
      </c>
    </row>
    <row r="1248">
      <c r="A1248" s="53"/>
      <c r="B1248" s="53"/>
      <c r="G1248" s="68" t="s">
        <v>62</v>
      </c>
    </row>
    <row r="1249">
      <c r="A1249" s="53"/>
      <c r="B1249" s="53"/>
      <c r="G1249" s="68" t="s">
        <v>62</v>
      </c>
    </row>
    <row r="1250">
      <c r="A1250" s="53"/>
      <c r="B1250" s="53"/>
      <c r="G1250" s="68" t="s">
        <v>62</v>
      </c>
    </row>
    <row r="1251">
      <c r="A1251" s="53"/>
      <c r="B1251" s="53"/>
      <c r="G1251" s="68" t="s">
        <v>62</v>
      </c>
    </row>
    <row r="1252">
      <c r="A1252" s="53"/>
      <c r="B1252" s="53"/>
      <c r="G1252" s="68" t="s">
        <v>62</v>
      </c>
    </row>
    <row r="1253">
      <c r="A1253" s="53"/>
      <c r="B1253" s="53"/>
      <c r="G1253" s="68" t="s">
        <v>62</v>
      </c>
    </row>
    <row r="1254">
      <c r="A1254" s="53"/>
      <c r="B1254" s="53"/>
      <c r="G1254" s="68" t="s">
        <v>62</v>
      </c>
    </row>
    <row r="1255">
      <c r="A1255" s="53"/>
      <c r="B1255" s="53"/>
      <c r="G1255" s="68" t="s">
        <v>62</v>
      </c>
    </row>
    <row r="1256">
      <c r="A1256" s="53"/>
      <c r="B1256" s="53"/>
      <c r="G1256" s="68" t="s">
        <v>62</v>
      </c>
    </row>
    <row r="1257">
      <c r="A1257" s="53"/>
      <c r="B1257" s="53"/>
      <c r="G1257" s="68" t="s">
        <v>62</v>
      </c>
    </row>
    <row r="1258">
      <c r="A1258" s="53"/>
      <c r="B1258" s="53"/>
      <c r="G1258" s="68" t="s">
        <v>62</v>
      </c>
    </row>
    <row r="1259">
      <c r="A1259" s="53"/>
      <c r="B1259" s="53"/>
      <c r="G1259" s="68" t="s">
        <v>62</v>
      </c>
    </row>
    <row r="1260">
      <c r="A1260" s="53"/>
      <c r="B1260" s="53"/>
      <c r="G1260" s="68" t="s">
        <v>62</v>
      </c>
    </row>
    <row r="1261">
      <c r="A1261" s="53"/>
      <c r="B1261" s="53"/>
      <c r="G1261" s="68" t="s">
        <v>62</v>
      </c>
    </row>
    <row r="1262">
      <c r="A1262" s="53"/>
      <c r="B1262" s="53"/>
      <c r="G1262" s="68" t="s">
        <v>62</v>
      </c>
    </row>
    <row r="1263">
      <c r="A1263" s="53"/>
      <c r="B1263" s="53"/>
      <c r="G1263" s="68" t="s">
        <v>62</v>
      </c>
    </row>
    <row r="1264">
      <c r="A1264" s="53"/>
      <c r="B1264" s="53"/>
      <c r="G1264" s="68" t="s">
        <v>62</v>
      </c>
    </row>
    <row r="1265">
      <c r="A1265" s="53"/>
      <c r="B1265" s="53"/>
      <c r="G1265" s="68" t="s">
        <v>62</v>
      </c>
    </row>
    <row r="1266">
      <c r="A1266" s="53"/>
      <c r="B1266" s="53"/>
      <c r="G1266" s="68" t="s">
        <v>62</v>
      </c>
    </row>
    <row r="1267">
      <c r="A1267" s="53"/>
      <c r="B1267" s="53"/>
      <c r="G1267" s="68" t="s">
        <v>62</v>
      </c>
    </row>
    <row r="1268">
      <c r="A1268" s="53"/>
      <c r="B1268" s="53"/>
      <c r="G1268" s="68" t="s">
        <v>62</v>
      </c>
    </row>
    <row r="1269">
      <c r="A1269" s="53"/>
      <c r="B1269" s="53"/>
      <c r="G1269" s="68" t="s">
        <v>62</v>
      </c>
    </row>
    <row r="1270">
      <c r="A1270" s="53"/>
      <c r="B1270" s="53"/>
      <c r="G1270" s="68" t="s">
        <v>62</v>
      </c>
    </row>
    <row r="1271">
      <c r="A1271" s="53"/>
      <c r="B1271" s="53"/>
      <c r="G1271" s="68" t="s">
        <v>62</v>
      </c>
    </row>
    <row r="1272">
      <c r="A1272" s="53"/>
      <c r="B1272" s="53"/>
      <c r="G1272" s="68" t="s">
        <v>62</v>
      </c>
    </row>
    <row r="1273">
      <c r="A1273" s="53"/>
      <c r="B1273" s="53"/>
      <c r="G1273" s="68" t="s">
        <v>62</v>
      </c>
    </row>
    <row r="1274">
      <c r="A1274" s="53"/>
      <c r="B1274" s="53"/>
      <c r="G1274" s="68" t="s">
        <v>62</v>
      </c>
    </row>
    <row r="1275">
      <c r="A1275" s="53"/>
      <c r="B1275" s="53"/>
      <c r="G1275" s="68" t="s">
        <v>62</v>
      </c>
    </row>
    <row r="1276">
      <c r="A1276" s="53"/>
      <c r="B1276" s="53"/>
      <c r="G1276" s="68" t="s">
        <v>62</v>
      </c>
    </row>
    <row r="1277">
      <c r="A1277" s="53"/>
      <c r="B1277" s="53"/>
      <c r="G1277" s="68" t="s">
        <v>62</v>
      </c>
    </row>
    <row r="1278">
      <c r="A1278" s="53"/>
      <c r="B1278" s="53"/>
      <c r="G1278" s="68" t="s">
        <v>62</v>
      </c>
    </row>
    <row r="1279">
      <c r="A1279" s="53"/>
      <c r="B1279" s="53"/>
      <c r="G1279" s="68" t="s">
        <v>62</v>
      </c>
    </row>
    <row r="1280">
      <c r="A1280" s="53"/>
      <c r="B1280" s="53"/>
      <c r="G1280" s="68" t="s">
        <v>62</v>
      </c>
    </row>
    <row r="1281">
      <c r="A1281" s="53"/>
      <c r="B1281" s="53"/>
      <c r="G1281" s="68" t="s">
        <v>62</v>
      </c>
    </row>
    <row r="1282">
      <c r="A1282" s="53"/>
      <c r="B1282" s="53"/>
      <c r="G1282" s="68" t="s">
        <v>62</v>
      </c>
    </row>
    <row r="1283">
      <c r="A1283" s="53"/>
      <c r="B1283" s="53"/>
      <c r="G1283" s="68" t="s">
        <v>62</v>
      </c>
    </row>
    <row r="1284">
      <c r="A1284" s="53"/>
      <c r="B1284" s="53"/>
      <c r="G1284" s="68" t="s">
        <v>62</v>
      </c>
    </row>
    <row r="1285">
      <c r="A1285" s="53"/>
      <c r="B1285" s="53"/>
      <c r="G1285" s="68" t="s">
        <v>62</v>
      </c>
    </row>
    <row r="1286">
      <c r="A1286" s="53"/>
      <c r="B1286" s="53"/>
      <c r="G1286" s="68" t="s">
        <v>62</v>
      </c>
    </row>
    <row r="1287">
      <c r="A1287" s="53"/>
      <c r="B1287" s="53"/>
      <c r="G1287" s="68" t="s">
        <v>62</v>
      </c>
    </row>
    <row r="1288">
      <c r="A1288" s="53"/>
      <c r="B1288" s="53"/>
      <c r="G1288" s="68" t="s">
        <v>62</v>
      </c>
    </row>
    <row r="1289">
      <c r="A1289" s="53"/>
      <c r="B1289" s="53"/>
      <c r="G1289" s="68" t="s">
        <v>62</v>
      </c>
    </row>
    <row r="1290">
      <c r="A1290" s="53"/>
      <c r="B1290" s="53"/>
      <c r="G1290" s="68" t="s">
        <v>62</v>
      </c>
    </row>
    <row r="1291">
      <c r="A1291" s="53"/>
      <c r="B1291" s="53"/>
      <c r="G1291" s="68" t="s">
        <v>62</v>
      </c>
    </row>
    <row r="1292">
      <c r="A1292" s="53"/>
      <c r="B1292" s="53"/>
      <c r="G1292" s="68" t="s">
        <v>62</v>
      </c>
    </row>
    <row r="1293">
      <c r="A1293" s="53"/>
      <c r="B1293" s="53"/>
      <c r="G1293" s="68" t="s">
        <v>62</v>
      </c>
    </row>
    <row r="1294">
      <c r="A1294" s="53"/>
      <c r="B1294" s="53"/>
      <c r="G1294" s="68" t="s">
        <v>62</v>
      </c>
    </row>
    <row r="1295">
      <c r="A1295" s="53"/>
      <c r="B1295" s="53"/>
      <c r="G1295" s="68" t="s">
        <v>62</v>
      </c>
    </row>
    <row r="1296">
      <c r="A1296" s="53"/>
      <c r="B1296" s="53"/>
      <c r="G1296" s="68" t="s">
        <v>62</v>
      </c>
    </row>
    <row r="1297">
      <c r="A1297" s="53"/>
      <c r="B1297" s="53"/>
      <c r="G1297" s="68" t="s">
        <v>62</v>
      </c>
    </row>
    <row r="1298">
      <c r="A1298" s="53"/>
      <c r="B1298" s="53"/>
      <c r="G1298" s="68" t="s">
        <v>62</v>
      </c>
    </row>
    <row r="1299">
      <c r="A1299" s="53"/>
      <c r="B1299" s="53"/>
      <c r="G1299" s="68" t="s">
        <v>62</v>
      </c>
    </row>
    <row r="1300">
      <c r="A1300" s="53"/>
      <c r="B1300" s="53"/>
      <c r="G1300" s="68" t="s">
        <v>62</v>
      </c>
    </row>
    <row r="1301">
      <c r="A1301" s="53"/>
      <c r="B1301" s="53"/>
      <c r="G1301" s="68" t="s">
        <v>62</v>
      </c>
    </row>
    <row r="1302">
      <c r="A1302" s="53"/>
      <c r="B1302" s="53"/>
      <c r="G1302" s="68" t="s">
        <v>62</v>
      </c>
    </row>
    <row r="1303">
      <c r="A1303" s="53"/>
      <c r="B1303" s="53"/>
      <c r="G1303" s="68" t="s">
        <v>62</v>
      </c>
    </row>
    <row r="1304">
      <c r="A1304" s="53"/>
      <c r="B1304" s="53"/>
      <c r="G1304" s="68" t="s">
        <v>62</v>
      </c>
    </row>
    <row r="1305">
      <c r="A1305" s="53"/>
      <c r="B1305" s="53"/>
      <c r="G1305" s="68" t="s">
        <v>62</v>
      </c>
    </row>
    <row r="1306">
      <c r="A1306" s="53"/>
      <c r="B1306" s="53"/>
      <c r="G1306" s="68" t="s">
        <v>62</v>
      </c>
    </row>
    <row r="1307">
      <c r="A1307" s="53"/>
      <c r="B1307" s="53"/>
      <c r="G1307" s="68" t="s">
        <v>62</v>
      </c>
    </row>
    <row r="1308">
      <c r="A1308" s="53"/>
      <c r="B1308" s="53"/>
      <c r="G1308" s="68" t="s">
        <v>62</v>
      </c>
    </row>
    <row r="1309">
      <c r="A1309" s="53"/>
      <c r="B1309" s="53"/>
      <c r="G1309" s="68" t="s">
        <v>62</v>
      </c>
    </row>
    <row r="1310">
      <c r="A1310" s="53"/>
      <c r="B1310" s="53"/>
      <c r="G1310" s="68" t="s">
        <v>62</v>
      </c>
    </row>
    <row r="1311">
      <c r="A1311" s="53"/>
      <c r="B1311" s="53"/>
      <c r="G1311" s="68" t="s">
        <v>62</v>
      </c>
    </row>
    <row r="1312">
      <c r="A1312" s="53"/>
      <c r="B1312" s="53"/>
      <c r="G1312" s="68" t="s">
        <v>62</v>
      </c>
    </row>
    <row r="1313">
      <c r="A1313" s="53"/>
      <c r="B1313" s="53"/>
      <c r="G1313" s="68" t="s">
        <v>62</v>
      </c>
    </row>
    <row r="1314">
      <c r="A1314" s="53"/>
      <c r="B1314" s="53"/>
      <c r="G1314" s="68" t="s">
        <v>62</v>
      </c>
    </row>
    <row r="1315">
      <c r="A1315" s="53"/>
      <c r="B1315" s="53"/>
      <c r="G1315" s="68" t="s">
        <v>62</v>
      </c>
    </row>
    <row r="1316">
      <c r="A1316" s="53"/>
      <c r="B1316" s="53"/>
      <c r="G1316" s="68" t="s">
        <v>62</v>
      </c>
    </row>
    <row r="1317">
      <c r="A1317" s="53"/>
      <c r="B1317" s="53"/>
      <c r="G1317" s="68" t="s">
        <v>62</v>
      </c>
    </row>
    <row r="1318">
      <c r="A1318" s="53"/>
      <c r="B1318" s="53"/>
      <c r="G1318" s="68" t="s">
        <v>62</v>
      </c>
    </row>
    <row r="1319">
      <c r="A1319" s="53"/>
      <c r="B1319" s="53"/>
      <c r="G1319" s="68" t="s">
        <v>62</v>
      </c>
    </row>
    <row r="1320">
      <c r="A1320" s="53"/>
      <c r="B1320" s="53"/>
      <c r="G1320" s="68" t="s">
        <v>62</v>
      </c>
    </row>
    <row r="1321">
      <c r="A1321" s="53"/>
      <c r="B1321" s="53"/>
      <c r="G1321" s="68" t="s">
        <v>62</v>
      </c>
    </row>
    <row r="1322">
      <c r="A1322" s="53"/>
      <c r="B1322" s="53"/>
      <c r="G1322" s="68" t="s">
        <v>62</v>
      </c>
    </row>
    <row r="1323">
      <c r="A1323" s="53"/>
      <c r="B1323" s="53"/>
      <c r="G1323" s="68" t="s">
        <v>62</v>
      </c>
    </row>
    <row r="1324">
      <c r="A1324" s="53"/>
      <c r="B1324" s="53"/>
      <c r="G1324" s="68" t="s">
        <v>62</v>
      </c>
    </row>
    <row r="1325">
      <c r="A1325" s="53"/>
      <c r="B1325" s="53"/>
      <c r="G1325" s="68" t="s">
        <v>62</v>
      </c>
    </row>
    <row r="1326">
      <c r="A1326" s="53"/>
      <c r="B1326" s="53"/>
      <c r="G1326" s="68" t="s">
        <v>62</v>
      </c>
    </row>
    <row r="1327">
      <c r="A1327" s="53"/>
      <c r="B1327" s="53"/>
      <c r="G1327" s="68" t="s">
        <v>62</v>
      </c>
    </row>
    <row r="1328">
      <c r="A1328" s="53"/>
      <c r="B1328" s="53"/>
      <c r="G1328" s="68" t="s">
        <v>62</v>
      </c>
    </row>
    <row r="1329">
      <c r="A1329" s="53"/>
      <c r="B1329" s="53"/>
      <c r="G1329" s="68" t="s">
        <v>62</v>
      </c>
    </row>
    <row r="1330">
      <c r="A1330" s="53"/>
      <c r="B1330" s="53"/>
      <c r="G1330" s="68" t="s">
        <v>62</v>
      </c>
    </row>
    <row r="1331">
      <c r="A1331" s="53"/>
      <c r="B1331" s="53"/>
      <c r="G1331" s="68" t="s">
        <v>62</v>
      </c>
    </row>
    <row r="1332">
      <c r="A1332" s="53"/>
      <c r="B1332" s="53"/>
      <c r="G1332" s="68" t="s">
        <v>62</v>
      </c>
    </row>
    <row r="1333">
      <c r="A1333" s="53"/>
      <c r="B1333" s="53"/>
      <c r="G1333" s="68" t="s">
        <v>62</v>
      </c>
    </row>
    <row r="1334">
      <c r="A1334" s="53"/>
      <c r="B1334" s="53"/>
      <c r="G1334" s="68" t="s">
        <v>62</v>
      </c>
    </row>
    <row r="1335">
      <c r="A1335" s="53"/>
      <c r="B1335" s="53"/>
      <c r="G1335" s="68" t="s">
        <v>62</v>
      </c>
    </row>
    <row r="1336">
      <c r="A1336" s="53"/>
      <c r="B1336" s="53"/>
      <c r="G1336" s="68" t="s">
        <v>62</v>
      </c>
    </row>
    <row r="1337">
      <c r="A1337" s="53"/>
      <c r="B1337" s="53"/>
      <c r="G1337" s="68" t="s">
        <v>62</v>
      </c>
    </row>
    <row r="1338">
      <c r="A1338" s="53"/>
      <c r="B1338" s="53"/>
      <c r="G1338" s="68" t="s">
        <v>62</v>
      </c>
    </row>
    <row r="1339">
      <c r="A1339" s="53"/>
      <c r="B1339" s="53"/>
      <c r="G1339" s="68" t="s">
        <v>62</v>
      </c>
    </row>
    <row r="1340">
      <c r="A1340" s="53"/>
      <c r="B1340" s="53"/>
      <c r="G1340" s="68" t="s">
        <v>62</v>
      </c>
    </row>
    <row r="1341">
      <c r="A1341" s="53"/>
      <c r="B1341" s="53"/>
      <c r="G1341" s="68" t="s">
        <v>62</v>
      </c>
    </row>
    <row r="1342">
      <c r="A1342" s="53"/>
      <c r="B1342" s="53"/>
      <c r="G1342" s="68" t="s">
        <v>62</v>
      </c>
    </row>
    <row r="1343">
      <c r="A1343" s="53"/>
      <c r="B1343" s="53"/>
      <c r="G1343" s="68" t="s">
        <v>62</v>
      </c>
    </row>
    <row r="1344">
      <c r="A1344" s="53"/>
      <c r="B1344" s="53"/>
      <c r="G1344" s="68" t="s">
        <v>62</v>
      </c>
    </row>
    <row r="1345">
      <c r="A1345" s="53"/>
      <c r="B1345" s="53"/>
      <c r="G1345" s="68" t="s">
        <v>62</v>
      </c>
    </row>
    <row r="1346">
      <c r="A1346" s="53"/>
      <c r="B1346" s="53"/>
      <c r="G1346" s="68" t="s">
        <v>62</v>
      </c>
    </row>
    <row r="1347">
      <c r="A1347" s="53"/>
      <c r="B1347" s="53"/>
      <c r="G1347" s="68" t="s">
        <v>62</v>
      </c>
    </row>
    <row r="1348">
      <c r="A1348" s="53"/>
      <c r="B1348" s="53"/>
      <c r="G1348" s="68" t="s">
        <v>62</v>
      </c>
    </row>
    <row r="1349">
      <c r="A1349" s="53"/>
      <c r="B1349" s="53"/>
      <c r="G1349" s="68" t="s">
        <v>62</v>
      </c>
    </row>
    <row r="1350">
      <c r="A1350" s="53"/>
      <c r="B1350" s="53"/>
      <c r="G1350" s="68" t="s">
        <v>62</v>
      </c>
    </row>
    <row r="1351">
      <c r="A1351" s="53"/>
      <c r="B1351" s="53"/>
      <c r="G1351" s="68" t="s">
        <v>62</v>
      </c>
    </row>
    <row r="1352">
      <c r="A1352" s="53"/>
      <c r="B1352" s="53"/>
      <c r="G1352" s="68" t="s">
        <v>62</v>
      </c>
    </row>
    <row r="1353">
      <c r="A1353" s="53"/>
      <c r="B1353" s="53"/>
      <c r="G1353" s="68" t="s">
        <v>62</v>
      </c>
    </row>
    <row r="1354">
      <c r="A1354" s="53"/>
      <c r="B1354" s="53"/>
      <c r="G1354" s="68" t="s">
        <v>62</v>
      </c>
    </row>
    <row r="1355">
      <c r="A1355" s="53"/>
      <c r="B1355" s="53"/>
      <c r="G1355" s="68" t="s">
        <v>62</v>
      </c>
    </row>
    <row r="1356">
      <c r="A1356" s="53"/>
      <c r="B1356" s="53"/>
      <c r="G1356" s="68" t="s">
        <v>62</v>
      </c>
    </row>
    <row r="1357">
      <c r="A1357" s="53"/>
      <c r="B1357" s="53"/>
      <c r="G1357" s="68" t="s">
        <v>62</v>
      </c>
    </row>
    <row r="1358">
      <c r="A1358" s="53"/>
      <c r="B1358" s="53"/>
      <c r="G1358" s="68" t="s">
        <v>62</v>
      </c>
    </row>
    <row r="1359">
      <c r="A1359" s="53"/>
      <c r="B1359" s="53"/>
      <c r="G1359" s="68" t="s">
        <v>62</v>
      </c>
    </row>
    <row r="1360">
      <c r="A1360" s="53"/>
      <c r="B1360" s="53"/>
      <c r="G1360" s="68" t="s">
        <v>62</v>
      </c>
    </row>
    <row r="1361">
      <c r="A1361" s="53"/>
      <c r="B1361" s="53"/>
      <c r="G1361" s="68" t="s">
        <v>62</v>
      </c>
    </row>
    <row r="1362">
      <c r="A1362" s="53"/>
      <c r="B1362" s="53"/>
      <c r="G1362" s="68" t="s">
        <v>62</v>
      </c>
    </row>
    <row r="1363">
      <c r="A1363" s="53"/>
      <c r="B1363" s="53"/>
      <c r="G1363" s="68" t="s">
        <v>62</v>
      </c>
    </row>
    <row r="1364">
      <c r="A1364" s="53"/>
      <c r="B1364" s="53"/>
      <c r="G1364" s="68" t="s">
        <v>62</v>
      </c>
    </row>
    <row r="1365">
      <c r="A1365" s="53"/>
      <c r="B1365" s="53"/>
      <c r="G1365" s="68" t="s">
        <v>62</v>
      </c>
    </row>
    <row r="1366">
      <c r="A1366" s="53"/>
      <c r="B1366" s="53"/>
      <c r="G1366" s="68" t="s">
        <v>62</v>
      </c>
    </row>
    <row r="1367">
      <c r="A1367" s="53"/>
      <c r="B1367" s="53"/>
      <c r="G1367" s="68" t="s">
        <v>62</v>
      </c>
    </row>
    <row r="1368">
      <c r="A1368" s="53"/>
      <c r="B1368" s="53"/>
      <c r="G1368" s="68" t="s">
        <v>62</v>
      </c>
    </row>
    <row r="1369">
      <c r="A1369" s="53"/>
      <c r="B1369" s="53"/>
      <c r="G1369" s="68" t="s">
        <v>62</v>
      </c>
    </row>
    <row r="1370">
      <c r="A1370" s="53"/>
      <c r="B1370" s="53"/>
      <c r="G1370" s="68" t="s">
        <v>62</v>
      </c>
    </row>
    <row r="1371">
      <c r="A1371" s="53"/>
      <c r="B1371" s="53"/>
      <c r="G1371" s="68" t="s">
        <v>62</v>
      </c>
    </row>
    <row r="1372">
      <c r="A1372" s="53"/>
      <c r="B1372" s="53"/>
      <c r="G1372" s="68" t="s">
        <v>62</v>
      </c>
    </row>
    <row r="1373">
      <c r="A1373" s="53"/>
      <c r="B1373" s="53"/>
      <c r="G1373" s="68" t="s">
        <v>62</v>
      </c>
    </row>
    <row r="1374">
      <c r="A1374" s="53"/>
      <c r="B1374" s="53"/>
      <c r="G1374" s="68" t="s">
        <v>62</v>
      </c>
    </row>
    <row r="1375">
      <c r="A1375" s="53"/>
      <c r="B1375" s="53"/>
      <c r="G1375" s="68" t="s">
        <v>62</v>
      </c>
    </row>
    <row r="1376">
      <c r="A1376" s="53"/>
      <c r="B1376" s="53"/>
      <c r="G1376" s="68" t="s">
        <v>62</v>
      </c>
    </row>
    <row r="1377">
      <c r="A1377" s="53"/>
      <c r="B1377" s="53"/>
      <c r="G1377" s="68" t="s">
        <v>62</v>
      </c>
    </row>
    <row r="1378">
      <c r="A1378" s="53"/>
      <c r="B1378" s="53"/>
      <c r="G1378" s="68" t="s">
        <v>62</v>
      </c>
    </row>
    <row r="1379">
      <c r="A1379" s="53"/>
      <c r="B1379" s="53"/>
      <c r="G1379" s="68" t="s">
        <v>62</v>
      </c>
    </row>
    <row r="1380">
      <c r="A1380" s="53"/>
      <c r="B1380" s="53"/>
      <c r="G1380" s="68" t="s">
        <v>62</v>
      </c>
    </row>
    <row r="1381">
      <c r="A1381" s="53"/>
      <c r="B1381" s="53"/>
      <c r="G1381" s="68" t="s">
        <v>62</v>
      </c>
    </row>
    <row r="1382">
      <c r="A1382" s="53"/>
      <c r="B1382" s="53"/>
      <c r="G1382" s="68" t="s">
        <v>62</v>
      </c>
    </row>
    <row r="1383">
      <c r="A1383" s="53"/>
      <c r="B1383" s="53"/>
      <c r="G1383" s="68" t="s">
        <v>62</v>
      </c>
    </row>
    <row r="1384">
      <c r="A1384" s="53"/>
      <c r="B1384" s="53"/>
      <c r="G1384" s="68" t="s">
        <v>62</v>
      </c>
    </row>
    <row r="1385">
      <c r="A1385" s="53"/>
      <c r="B1385" s="53"/>
      <c r="G1385" s="68" t="s">
        <v>62</v>
      </c>
    </row>
    <row r="1386">
      <c r="A1386" s="53"/>
      <c r="B1386" s="53"/>
      <c r="G1386" s="68" t="s">
        <v>62</v>
      </c>
    </row>
    <row r="1387">
      <c r="A1387" s="53"/>
      <c r="B1387" s="53"/>
      <c r="G1387" s="68" t="s">
        <v>62</v>
      </c>
    </row>
    <row r="1388">
      <c r="A1388" s="53"/>
      <c r="B1388" s="53"/>
      <c r="G1388" s="68" t="s">
        <v>62</v>
      </c>
    </row>
    <row r="1389">
      <c r="A1389" s="53"/>
      <c r="B1389" s="53"/>
      <c r="G1389" s="68" t="s">
        <v>62</v>
      </c>
    </row>
    <row r="1390">
      <c r="A1390" s="53"/>
      <c r="B1390" s="53"/>
      <c r="G1390" s="68" t="s">
        <v>62</v>
      </c>
    </row>
    <row r="1391">
      <c r="A1391" s="53"/>
      <c r="B1391" s="53"/>
      <c r="G1391" s="68" t="s">
        <v>62</v>
      </c>
    </row>
    <row r="1392">
      <c r="A1392" s="53"/>
      <c r="B1392" s="53"/>
      <c r="G1392" s="68" t="s">
        <v>62</v>
      </c>
    </row>
    <row r="1393">
      <c r="A1393" s="53"/>
      <c r="B1393" s="53"/>
      <c r="G1393" s="68" t="s">
        <v>62</v>
      </c>
    </row>
    <row r="1394">
      <c r="A1394" s="53"/>
      <c r="B1394" s="53"/>
      <c r="G1394" s="68" t="s">
        <v>62</v>
      </c>
    </row>
    <row r="1395">
      <c r="A1395" s="53"/>
      <c r="B1395" s="53"/>
      <c r="G1395" s="68" t="s">
        <v>62</v>
      </c>
    </row>
    <row r="1396">
      <c r="A1396" s="53"/>
      <c r="B1396" s="53"/>
      <c r="G1396" s="68" t="s">
        <v>62</v>
      </c>
    </row>
    <row r="1397">
      <c r="A1397" s="53"/>
      <c r="B1397" s="53"/>
      <c r="G1397" s="68" t="s">
        <v>62</v>
      </c>
    </row>
    <row r="1398">
      <c r="A1398" s="53"/>
      <c r="B1398" s="53"/>
      <c r="G1398" s="68" t="s">
        <v>62</v>
      </c>
    </row>
    <row r="1399">
      <c r="A1399" s="53"/>
      <c r="B1399" s="53"/>
      <c r="G1399" s="68" t="s">
        <v>62</v>
      </c>
    </row>
    <row r="1400">
      <c r="A1400" s="53"/>
      <c r="B1400" s="53"/>
      <c r="G1400" s="68" t="s">
        <v>62</v>
      </c>
    </row>
    <row r="1401">
      <c r="A1401" s="53"/>
      <c r="B1401" s="53"/>
      <c r="G1401" s="68" t="s">
        <v>62</v>
      </c>
    </row>
    <row r="1402">
      <c r="A1402" s="53"/>
      <c r="B1402" s="53"/>
      <c r="G1402" s="68" t="s">
        <v>62</v>
      </c>
    </row>
    <row r="1403">
      <c r="A1403" s="53"/>
      <c r="B1403" s="53"/>
      <c r="G1403" s="68" t="s">
        <v>62</v>
      </c>
    </row>
    <row r="1404">
      <c r="A1404" s="53"/>
      <c r="B1404" s="53"/>
      <c r="G1404" s="68" t="s">
        <v>62</v>
      </c>
    </row>
    <row r="1405">
      <c r="A1405" s="53"/>
      <c r="B1405" s="53"/>
      <c r="G1405" s="68" t="s">
        <v>62</v>
      </c>
    </row>
    <row r="1406">
      <c r="A1406" s="53"/>
      <c r="B1406" s="53"/>
      <c r="G1406" s="68" t="s">
        <v>62</v>
      </c>
    </row>
    <row r="1407">
      <c r="A1407" s="53"/>
      <c r="B1407" s="53"/>
      <c r="G1407" s="68" t="s">
        <v>62</v>
      </c>
    </row>
    <row r="1408">
      <c r="A1408" s="53"/>
      <c r="B1408" s="53"/>
      <c r="G1408" s="68" t="s">
        <v>62</v>
      </c>
    </row>
    <row r="1409">
      <c r="A1409" s="53"/>
      <c r="B1409" s="53"/>
      <c r="G1409" s="68" t="s">
        <v>62</v>
      </c>
    </row>
    <row r="1410">
      <c r="A1410" s="53"/>
      <c r="B1410" s="53"/>
      <c r="G1410" s="68" t="s">
        <v>62</v>
      </c>
    </row>
    <row r="1411">
      <c r="A1411" s="53"/>
      <c r="B1411" s="53"/>
      <c r="G1411" s="68" t="s">
        <v>62</v>
      </c>
    </row>
    <row r="1412">
      <c r="A1412" s="53"/>
      <c r="B1412" s="53"/>
      <c r="G1412" s="68" t="s">
        <v>62</v>
      </c>
    </row>
    <row r="1413">
      <c r="A1413" s="53"/>
      <c r="B1413" s="53"/>
      <c r="G1413" s="68" t="s">
        <v>62</v>
      </c>
    </row>
    <row r="1414">
      <c r="A1414" s="53"/>
      <c r="B1414" s="53"/>
      <c r="G1414" s="68" t="s">
        <v>62</v>
      </c>
    </row>
    <row r="1415">
      <c r="A1415" s="53"/>
      <c r="B1415" s="53"/>
      <c r="G1415" s="68" t="s">
        <v>62</v>
      </c>
    </row>
    <row r="1416">
      <c r="A1416" s="53"/>
      <c r="B1416" s="53"/>
      <c r="G1416" s="68" t="s">
        <v>62</v>
      </c>
    </row>
    <row r="1417">
      <c r="A1417" s="53"/>
      <c r="B1417" s="53"/>
      <c r="G1417" s="68" t="s">
        <v>62</v>
      </c>
    </row>
    <row r="1418">
      <c r="A1418" s="53"/>
      <c r="B1418" s="53"/>
      <c r="G1418" s="68" t="s">
        <v>62</v>
      </c>
    </row>
    <row r="1419">
      <c r="A1419" s="53"/>
      <c r="B1419" s="53"/>
      <c r="G1419" s="68" t="s">
        <v>62</v>
      </c>
    </row>
    <row r="1420">
      <c r="A1420" s="53"/>
      <c r="B1420" s="53"/>
      <c r="G1420" s="68" t="s">
        <v>62</v>
      </c>
    </row>
    <row r="1421">
      <c r="A1421" s="53"/>
      <c r="B1421" s="53"/>
      <c r="G1421" s="68" t="s">
        <v>62</v>
      </c>
    </row>
    <row r="1422">
      <c r="A1422" s="53"/>
      <c r="B1422" s="53"/>
      <c r="G1422" s="68" t="s">
        <v>62</v>
      </c>
    </row>
    <row r="1423">
      <c r="A1423" s="53"/>
      <c r="B1423" s="53"/>
      <c r="G1423" s="68" t="s">
        <v>62</v>
      </c>
    </row>
    <row r="1424">
      <c r="A1424" s="53"/>
      <c r="B1424" s="53"/>
      <c r="G1424" s="68" t="s">
        <v>62</v>
      </c>
    </row>
    <row r="1425">
      <c r="A1425" s="53"/>
      <c r="B1425" s="53"/>
      <c r="G1425" s="68" t="s">
        <v>62</v>
      </c>
    </row>
    <row r="1426">
      <c r="A1426" s="53"/>
      <c r="B1426" s="53"/>
      <c r="G1426" s="68" t="s">
        <v>62</v>
      </c>
    </row>
    <row r="1427">
      <c r="A1427" s="53"/>
      <c r="B1427" s="53"/>
      <c r="G1427" s="68" t="s">
        <v>62</v>
      </c>
    </row>
    <row r="1428">
      <c r="A1428" s="53"/>
      <c r="B1428" s="53"/>
      <c r="G1428" s="68" t="s">
        <v>62</v>
      </c>
    </row>
    <row r="1429">
      <c r="A1429" s="53"/>
      <c r="B1429" s="53"/>
      <c r="G1429" s="68" t="s">
        <v>62</v>
      </c>
    </row>
    <row r="1430">
      <c r="A1430" s="53"/>
      <c r="B1430" s="53"/>
      <c r="G1430" s="68" t="s">
        <v>62</v>
      </c>
    </row>
    <row r="1431">
      <c r="A1431" s="53"/>
      <c r="B1431" s="53"/>
      <c r="G1431" s="68" t="s">
        <v>62</v>
      </c>
    </row>
    <row r="1432">
      <c r="A1432" s="53"/>
      <c r="B1432" s="53"/>
      <c r="G1432" s="68" t="s">
        <v>62</v>
      </c>
    </row>
    <row r="1433">
      <c r="A1433" s="53"/>
      <c r="B1433" s="53"/>
      <c r="G1433" s="68" t="s">
        <v>62</v>
      </c>
    </row>
    <row r="1434">
      <c r="A1434" s="53"/>
      <c r="B1434" s="53"/>
      <c r="G1434" s="68" t="s">
        <v>62</v>
      </c>
    </row>
    <row r="1435">
      <c r="A1435" s="53"/>
      <c r="B1435" s="53"/>
      <c r="G1435" s="68" t="s">
        <v>62</v>
      </c>
    </row>
    <row r="1436">
      <c r="A1436" s="53"/>
      <c r="B1436" s="53"/>
      <c r="G1436" s="68" t="s">
        <v>62</v>
      </c>
    </row>
    <row r="1437">
      <c r="A1437" s="53"/>
      <c r="B1437" s="53"/>
      <c r="G1437" s="68" t="s">
        <v>62</v>
      </c>
    </row>
    <row r="1438">
      <c r="A1438" s="53"/>
      <c r="B1438" s="53"/>
      <c r="G1438" s="68" t="s">
        <v>62</v>
      </c>
    </row>
    <row r="1439">
      <c r="A1439" s="53"/>
      <c r="B1439" s="53"/>
      <c r="G1439" s="68" t="s">
        <v>62</v>
      </c>
    </row>
    <row r="1440">
      <c r="A1440" s="53"/>
      <c r="B1440" s="53"/>
      <c r="G1440" s="68" t="s">
        <v>62</v>
      </c>
    </row>
    <row r="1441">
      <c r="A1441" s="53"/>
      <c r="B1441" s="53"/>
      <c r="G1441" s="68" t="s">
        <v>62</v>
      </c>
    </row>
    <row r="1442">
      <c r="A1442" s="53"/>
      <c r="B1442" s="53"/>
      <c r="G1442" s="68" t="s">
        <v>62</v>
      </c>
    </row>
    <row r="1443">
      <c r="A1443" s="53"/>
      <c r="B1443" s="53"/>
      <c r="G1443" s="68" t="s">
        <v>62</v>
      </c>
    </row>
    <row r="1444">
      <c r="A1444" s="53"/>
      <c r="B1444" s="53"/>
      <c r="G1444" s="68" t="s">
        <v>62</v>
      </c>
    </row>
    <row r="1445">
      <c r="A1445" s="53"/>
      <c r="B1445" s="53"/>
      <c r="G1445" s="68" t="s">
        <v>62</v>
      </c>
    </row>
    <row r="1446">
      <c r="A1446" s="53"/>
      <c r="B1446" s="53"/>
      <c r="G1446" s="68" t="s">
        <v>62</v>
      </c>
    </row>
    <row r="1447">
      <c r="A1447" s="53"/>
      <c r="B1447" s="53"/>
      <c r="G1447" s="68" t="s">
        <v>62</v>
      </c>
    </row>
    <row r="1448">
      <c r="A1448" s="53"/>
      <c r="B1448" s="53"/>
      <c r="G1448" s="68" t="s">
        <v>62</v>
      </c>
    </row>
    <row r="1449">
      <c r="A1449" s="53"/>
      <c r="B1449" s="53"/>
      <c r="G1449" s="68" t="s">
        <v>62</v>
      </c>
    </row>
    <row r="1450">
      <c r="A1450" s="53"/>
      <c r="B1450" s="53"/>
      <c r="G1450" s="68" t="s">
        <v>62</v>
      </c>
    </row>
    <row r="1451">
      <c r="A1451" s="53"/>
      <c r="B1451" s="53"/>
      <c r="G1451" s="68" t="s">
        <v>62</v>
      </c>
    </row>
    <row r="1452">
      <c r="A1452" s="53"/>
      <c r="B1452" s="53"/>
      <c r="G1452" s="68" t="s">
        <v>62</v>
      </c>
    </row>
    <row r="1453">
      <c r="A1453" s="53"/>
      <c r="B1453" s="53"/>
      <c r="G1453" s="68" t="s">
        <v>62</v>
      </c>
    </row>
    <row r="1454">
      <c r="A1454" s="53"/>
      <c r="B1454" s="53"/>
      <c r="G1454" s="68" t="s">
        <v>62</v>
      </c>
    </row>
    <row r="1455">
      <c r="A1455" s="53"/>
      <c r="B1455" s="53"/>
      <c r="G1455" s="68" t="s">
        <v>62</v>
      </c>
    </row>
    <row r="1456">
      <c r="A1456" s="53"/>
      <c r="B1456" s="53"/>
      <c r="G1456" s="68" t="s">
        <v>62</v>
      </c>
    </row>
    <row r="1457">
      <c r="A1457" s="53"/>
      <c r="B1457" s="53"/>
      <c r="G1457" s="68" t="s">
        <v>62</v>
      </c>
    </row>
    <row r="1458">
      <c r="A1458" s="53"/>
      <c r="B1458" s="53"/>
      <c r="G1458" s="68" t="s">
        <v>62</v>
      </c>
    </row>
    <row r="1459">
      <c r="A1459" s="53"/>
      <c r="B1459" s="53"/>
      <c r="G1459" s="68" t="s">
        <v>62</v>
      </c>
    </row>
    <row r="1460">
      <c r="A1460" s="53"/>
      <c r="B1460" s="53"/>
      <c r="G1460" s="68" t="s">
        <v>62</v>
      </c>
    </row>
    <row r="1461">
      <c r="A1461" s="53"/>
      <c r="B1461" s="53"/>
      <c r="G1461" s="68" t="s">
        <v>62</v>
      </c>
    </row>
    <row r="1462">
      <c r="A1462" s="53"/>
      <c r="B1462" s="53"/>
      <c r="G1462" s="68" t="s">
        <v>62</v>
      </c>
    </row>
    <row r="1463">
      <c r="A1463" s="53"/>
      <c r="B1463" s="53"/>
      <c r="G1463" s="68" t="s">
        <v>62</v>
      </c>
    </row>
    <row r="1464">
      <c r="A1464" s="53"/>
      <c r="B1464" s="53"/>
      <c r="G1464" s="68" t="s">
        <v>62</v>
      </c>
    </row>
    <row r="1465">
      <c r="A1465" s="53"/>
      <c r="B1465" s="53"/>
      <c r="G1465" s="68" t="s">
        <v>62</v>
      </c>
    </row>
    <row r="1466">
      <c r="A1466" s="53"/>
      <c r="B1466" s="53"/>
      <c r="G1466" s="68" t="s">
        <v>62</v>
      </c>
    </row>
    <row r="1467">
      <c r="A1467" s="53"/>
      <c r="B1467" s="53"/>
      <c r="G1467" s="68" t="s">
        <v>62</v>
      </c>
    </row>
    <row r="1468">
      <c r="A1468" s="53"/>
      <c r="B1468" s="53"/>
      <c r="G1468" s="68" t="s">
        <v>62</v>
      </c>
    </row>
    <row r="1469">
      <c r="A1469" s="53"/>
      <c r="B1469" s="53"/>
      <c r="G1469" s="68" t="s">
        <v>62</v>
      </c>
    </row>
    <row r="1470">
      <c r="A1470" s="53"/>
      <c r="B1470" s="53"/>
      <c r="G1470" s="68" t="s">
        <v>62</v>
      </c>
    </row>
    <row r="1471">
      <c r="A1471" s="53"/>
      <c r="B1471" s="53"/>
      <c r="G1471" s="68" t="s">
        <v>62</v>
      </c>
    </row>
    <row r="1472">
      <c r="A1472" s="53"/>
      <c r="B1472" s="53"/>
      <c r="G1472" s="68" t="s">
        <v>62</v>
      </c>
    </row>
    <row r="1473">
      <c r="A1473" s="53"/>
      <c r="B1473" s="53"/>
      <c r="G1473" s="68" t="s">
        <v>62</v>
      </c>
    </row>
    <row r="1474">
      <c r="A1474" s="53"/>
      <c r="B1474" s="53"/>
      <c r="G1474" s="68" t="s">
        <v>62</v>
      </c>
    </row>
    <row r="1475">
      <c r="A1475" s="53"/>
      <c r="B1475" s="53"/>
      <c r="G1475" s="68" t="s">
        <v>62</v>
      </c>
    </row>
    <row r="1476">
      <c r="A1476" s="53"/>
      <c r="B1476" s="53"/>
      <c r="G1476" s="68" t="s">
        <v>62</v>
      </c>
    </row>
    <row r="1477">
      <c r="A1477" s="53"/>
      <c r="B1477" s="53"/>
      <c r="G1477" s="68" t="s">
        <v>62</v>
      </c>
    </row>
    <row r="1478">
      <c r="A1478" s="53"/>
      <c r="B1478" s="53"/>
      <c r="G1478" s="68" t="s">
        <v>62</v>
      </c>
    </row>
    <row r="1479">
      <c r="A1479" s="53"/>
      <c r="B1479" s="53"/>
      <c r="G1479" s="68" t="s">
        <v>62</v>
      </c>
    </row>
    <row r="1480">
      <c r="A1480" s="53"/>
      <c r="B1480" s="53"/>
      <c r="G1480" s="68" t="s">
        <v>62</v>
      </c>
    </row>
    <row r="1481">
      <c r="A1481" s="53"/>
      <c r="B1481" s="53"/>
      <c r="G1481" s="68" t="s">
        <v>62</v>
      </c>
    </row>
    <row r="1482">
      <c r="A1482" s="53"/>
      <c r="B1482" s="53"/>
      <c r="G1482" s="68" t="s">
        <v>62</v>
      </c>
    </row>
    <row r="1483">
      <c r="A1483" s="53"/>
      <c r="B1483" s="53"/>
      <c r="G1483" s="68" t="s">
        <v>62</v>
      </c>
    </row>
    <row r="1484">
      <c r="A1484" s="53"/>
      <c r="B1484" s="53"/>
      <c r="G1484" s="68" t="s">
        <v>62</v>
      </c>
    </row>
    <row r="1485">
      <c r="A1485" s="53"/>
      <c r="B1485" s="53"/>
      <c r="G1485" s="68" t="s">
        <v>62</v>
      </c>
    </row>
    <row r="1486">
      <c r="A1486" s="53"/>
      <c r="B1486" s="53"/>
      <c r="G1486" s="68" t="s">
        <v>62</v>
      </c>
    </row>
    <row r="1487">
      <c r="A1487" s="53"/>
      <c r="B1487" s="53"/>
      <c r="G1487" s="68" t="s">
        <v>62</v>
      </c>
    </row>
    <row r="1488">
      <c r="A1488" s="53"/>
      <c r="B1488" s="53"/>
      <c r="G1488" s="68" t="s">
        <v>62</v>
      </c>
    </row>
    <row r="1489">
      <c r="A1489" s="53"/>
      <c r="B1489" s="53"/>
      <c r="G1489" s="68" t="s">
        <v>62</v>
      </c>
    </row>
    <row r="1490">
      <c r="A1490" s="53"/>
      <c r="B1490" s="53"/>
      <c r="G1490" s="68" t="s">
        <v>62</v>
      </c>
    </row>
    <row r="1491">
      <c r="A1491" s="53"/>
      <c r="B1491" s="53"/>
      <c r="G1491" s="68" t="s">
        <v>62</v>
      </c>
    </row>
    <row r="1492">
      <c r="A1492" s="53"/>
      <c r="B1492" s="53"/>
      <c r="G1492" s="68" t="s">
        <v>62</v>
      </c>
    </row>
    <row r="1493">
      <c r="A1493" s="53"/>
      <c r="B1493" s="53"/>
      <c r="G1493" s="68" t="s">
        <v>62</v>
      </c>
    </row>
    <row r="1494">
      <c r="A1494" s="53"/>
      <c r="B1494" s="53"/>
      <c r="G1494" s="68" t="s">
        <v>62</v>
      </c>
    </row>
    <row r="1495">
      <c r="A1495" s="53"/>
      <c r="B1495" s="53"/>
      <c r="G1495" s="68" t="s">
        <v>62</v>
      </c>
    </row>
    <row r="1496">
      <c r="A1496" s="53"/>
      <c r="B1496" s="53"/>
      <c r="G1496" s="68" t="s">
        <v>62</v>
      </c>
    </row>
    <row r="1497">
      <c r="A1497" s="53"/>
      <c r="B1497" s="53"/>
      <c r="G1497" s="68" t="s">
        <v>62</v>
      </c>
    </row>
    <row r="1498">
      <c r="A1498" s="53"/>
      <c r="B1498" s="53"/>
      <c r="G1498" s="68" t="s">
        <v>62</v>
      </c>
    </row>
    <row r="1499">
      <c r="A1499" s="53"/>
      <c r="B1499" s="53"/>
      <c r="G1499" s="68" t="s">
        <v>62</v>
      </c>
    </row>
    <row r="1500">
      <c r="A1500" s="53"/>
      <c r="B1500" s="53"/>
      <c r="G1500" s="68" t="s">
        <v>62</v>
      </c>
    </row>
    <row r="1501">
      <c r="A1501" s="53"/>
      <c r="B1501" s="53"/>
      <c r="G1501" s="68" t="s">
        <v>62</v>
      </c>
    </row>
    <row r="1502">
      <c r="A1502" s="53"/>
      <c r="B1502" s="53"/>
      <c r="G1502" s="68" t="s">
        <v>62</v>
      </c>
    </row>
    <row r="1503">
      <c r="A1503" s="53"/>
      <c r="B1503" s="53"/>
      <c r="G1503" s="68" t="s">
        <v>62</v>
      </c>
    </row>
    <row r="1504">
      <c r="A1504" s="53"/>
      <c r="B1504" s="53"/>
      <c r="G1504" s="68" t="s">
        <v>62</v>
      </c>
    </row>
    <row r="1505">
      <c r="A1505" s="53"/>
      <c r="B1505" s="53"/>
      <c r="G1505" s="68" t="s">
        <v>62</v>
      </c>
    </row>
    <row r="1506">
      <c r="A1506" s="53"/>
      <c r="B1506" s="53"/>
      <c r="G1506" s="68" t="s">
        <v>62</v>
      </c>
    </row>
    <row r="1507">
      <c r="A1507" s="53"/>
      <c r="B1507" s="53"/>
      <c r="G1507" s="68" t="s">
        <v>62</v>
      </c>
    </row>
    <row r="1508">
      <c r="A1508" s="53"/>
      <c r="B1508" s="53"/>
      <c r="G1508" s="68" t="s">
        <v>62</v>
      </c>
    </row>
    <row r="1509">
      <c r="A1509" s="53"/>
      <c r="B1509" s="53"/>
      <c r="G1509" s="68" t="s">
        <v>62</v>
      </c>
    </row>
    <row r="1510">
      <c r="A1510" s="53"/>
      <c r="B1510" s="53"/>
      <c r="G1510" s="68" t="s">
        <v>62</v>
      </c>
    </row>
    <row r="1511">
      <c r="A1511" s="53"/>
      <c r="B1511" s="53"/>
      <c r="G1511" s="68" t="s">
        <v>62</v>
      </c>
    </row>
    <row r="1512">
      <c r="A1512" s="53"/>
      <c r="B1512" s="53"/>
      <c r="G1512" s="68" t="s">
        <v>62</v>
      </c>
    </row>
    <row r="1513">
      <c r="A1513" s="53"/>
      <c r="B1513" s="53"/>
      <c r="G1513" s="68" t="s">
        <v>62</v>
      </c>
    </row>
    <row r="1514">
      <c r="A1514" s="53"/>
      <c r="B1514" s="53"/>
      <c r="G1514" s="68" t="s">
        <v>62</v>
      </c>
    </row>
    <row r="1515">
      <c r="A1515" s="53"/>
      <c r="B1515" s="53"/>
      <c r="G1515" s="68" t="s">
        <v>62</v>
      </c>
    </row>
    <row r="1516">
      <c r="A1516" s="53"/>
      <c r="B1516" s="53"/>
      <c r="G1516" s="68" t="s">
        <v>62</v>
      </c>
    </row>
    <row r="1517">
      <c r="A1517" s="53"/>
      <c r="B1517" s="53"/>
      <c r="G1517" s="68" t="s">
        <v>62</v>
      </c>
    </row>
    <row r="1518">
      <c r="A1518" s="53"/>
      <c r="B1518" s="53"/>
      <c r="G1518" s="68" t="s">
        <v>62</v>
      </c>
    </row>
    <row r="1519">
      <c r="A1519" s="53"/>
      <c r="B1519" s="53"/>
      <c r="G1519" s="68" t="s">
        <v>62</v>
      </c>
    </row>
    <row r="1520">
      <c r="A1520" s="53"/>
      <c r="B1520" s="53"/>
      <c r="G1520" s="68" t="s">
        <v>62</v>
      </c>
    </row>
    <row r="1521">
      <c r="A1521" s="53"/>
      <c r="B1521" s="53"/>
      <c r="G1521" s="68" t="s">
        <v>62</v>
      </c>
    </row>
    <row r="1522">
      <c r="A1522" s="53"/>
      <c r="B1522" s="53"/>
      <c r="G1522" s="68" t="s">
        <v>62</v>
      </c>
    </row>
    <row r="1523">
      <c r="A1523" s="53"/>
      <c r="B1523" s="53"/>
      <c r="G1523" s="68" t="s">
        <v>62</v>
      </c>
    </row>
    <row r="1524">
      <c r="A1524" s="53"/>
      <c r="B1524" s="53"/>
      <c r="G1524" s="68" t="s">
        <v>62</v>
      </c>
    </row>
    <row r="1525">
      <c r="A1525" s="53"/>
      <c r="B1525" s="53"/>
      <c r="G1525" s="68" t="s">
        <v>62</v>
      </c>
    </row>
    <row r="1526">
      <c r="A1526" s="53"/>
      <c r="B1526" s="53"/>
      <c r="G1526" s="68" t="s">
        <v>62</v>
      </c>
    </row>
    <row r="1527">
      <c r="A1527" s="53"/>
      <c r="B1527" s="53"/>
      <c r="G1527" s="68" t="s">
        <v>62</v>
      </c>
    </row>
    <row r="1528">
      <c r="A1528" s="53"/>
      <c r="B1528" s="53"/>
      <c r="G1528" s="68" t="s">
        <v>62</v>
      </c>
    </row>
    <row r="1529">
      <c r="A1529" s="53"/>
      <c r="B1529" s="53"/>
      <c r="G1529" s="68" t="s">
        <v>62</v>
      </c>
    </row>
    <row r="1530">
      <c r="A1530" s="53"/>
      <c r="B1530" s="53"/>
      <c r="G1530" s="68" t="s">
        <v>62</v>
      </c>
    </row>
    <row r="1531">
      <c r="A1531" s="53"/>
      <c r="B1531" s="53"/>
      <c r="G1531" s="68" t="s">
        <v>62</v>
      </c>
    </row>
    <row r="1532">
      <c r="A1532" s="53"/>
      <c r="B1532" s="53"/>
      <c r="G1532" s="68" t="s">
        <v>62</v>
      </c>
    </row>
    <row r="1533">
      <c r="A1533" s="53"/>
      <c r="B1533" s="53"/>
      <c r="G1533" s="68" t="s">
        <v>62</v>
      </c>
    </row>
    <row r="1534">
      <c r="A1534" s="53"/>
      <c r="B1534" s="53"/>
      <c r="G1534" s="68" t="s">
        <v>62</v>
      </c>
    </row>
    <row r="1535">
      <c r="A1535" s="53"/>
      <c r="B1535" s="53"/>
      <c r="G1535" s="68" t="s">
        <v>62</v>
      </c>
    </row>
    <row r="1536">
      <c r="A1536" s="53"/>
      <c r="B1536" s="53"/>
      <c r="G1536" s="68" t="s">
        <v>62</v>
      </c>
    </row>
    <row r="1537">
      <c r="A1537" s="53"/>
      <c r="B1537" s="53"/>
      <c r="G1537" s="68" t="s">
        <v>62</v>
      </c>
    </row>
    <row r="1538">
      <c r="A1538" s="53"/>
      <c r="B1538" s="53"/>
      <c r="G1538" s="68" t="s">
        <v>62</v>
      </c>
    </row>
    <row r="1539">
      <c r="A1539" s="53"/>
      <c r="B1539" s="53"/>
      <c r="G1539" s="68" t="s">
        <v>62</v>
      </c>
    </row>
    <row r="1540">
      <c r="A1540" s="53"/>
      <c r="B1540" s="53"/>
      <c r="G1540" s="68" t="s">
        <v>62</v>
      </c>
    </row>
    <row r="1541">
      <c r="A1541" s="53"/>
      <c r="B1541" s="53"/>
      <c r="G1541" s="68" t="s">
        <v>62</v>
      </c>
    </row>
    <row r="1542">
      <c r="A1542" s="53"/>
      <c r="B1542" s="53"/>
      <c r="G1542" s="68" t="s">
        <v>62</v>
      </c>
    </row>
    <row r="1543">
      <c r="A1543" s="53"/>
      <c r="B1543" s="53"/>
      <c r="G1543" s="68" t="s">
        <v>62</v>
      </c>
    </row>
    <row r="1544">
      <c r="A1544" s="53"/>
      <c r="B1544" s="53"/>
      <c r="G1544" s="68" t="s">
        <v>62</v>
      </c>
    </row>
    <row r="1545">
      <c r="A1545" s="53"/>
      <c r="B1545" s="53"/>
      <c r="G1545" s="68" t="s">
        <v>62</v>
      </c>
    </row>
    <row r="1546">
      <c r="A1546" s="53"/>
      <c r="B1546" s="53"/>
      <c r="G1546" s="68" t="s">
        <v>62</v>
      </c>
    </row>
    <row r="1547">
      <c r="A1547" s="53"/>
      <c r="B1547" s="53"/>
      <c r="G1547" s="68" t="s">
        <v>62</v>
      </c>
    </row>
    <row r="1548">
      <c r="A1548" s="53"/>
      <c r="B1548" s="53"/>
      <c r="G1548" s="68" t="s">
        <v>62</v>
      </c>
    </row>
    <row r="1549">
      <c r="A1549" s="53"/>
      <c r="B1549" s="53"/>
      <c r="G1549" s="68" t="s">
        <v>62</v>
      </c>
    </row>
    <row r="1550">
      <c r="A1550" s="53"/>
      <c r="B1550" s="53"/>
      <c r="G1550" s="68" t="s">
        <v>62</v>
      </c>
    </row>
    <row r="1551">
      <c r="A1551" s="53"/>
      <c r="B1551" s="53"/>
      <c r="G1551" s="68" t="s">
        <v>62</v>
      </c>
    </row>
    <row r="1552">
      <c r="A1552" s="53"/>
      <c r="B1552" s="53"/>
      <c r="G1552" s="68" t="s">
        <v>62</v>
      </c>
    </row>
    <row r="1553">
      <c r="A1553" s="53"/>
      <c r="B1553" s="53"/>
      <c r="G1553" s="68" t="s">
        <v>62</v>
      </c>
    </row>
    <row r="1554">
      <c r="A1554" s="53"/>
      <c r="B1554" s="53"/>
      <c r="G1554" s="68" t="s">
        <v>62</v>
      </c>
    </row>
    <row r="1555">
      <c r="A1555" s="53"/>
      <c r="B1555" s="53"/>
      <c r="G1555" s="68" t="s">
        <v>62</v>
      </c>
    </row>
    <row r="1556">
      <c r="A1556" s="53"/>
      <c r="B1556" s="53"/>
      <c r="G1556" s="68" t="s">
        <v>62</v>
      </c>
    </row>
    <row r="1557">
      <c r="A1557" s="53"/>
      <c r="B1557" s="53"/>
      <c r="G1557" s="68" t="s">
        <v>62</v>
      </c>
    </row>
    <row r="1558">
      <c r="A1558" s="53"/>
      <c r="B1558" s="53"/>
      <c r="G1558" s="68" t="s">
        <v>62</v>
      </c>
    </row>
    <row r="1559">
      <c r="A1559" s="53"/>
      <c r="B1559" s="53"/>
      <c r="G1559" s="68" t="s">
        <v>62</v>
      </c>
    </row>
    <row r="1560">
      <c r="A1560" s="53"/>
      <c r="B1560" s="53"/>
      <c r="G1560" s="68" t="s">
        <v>62</v>
      </c>
    </row>
    <row r="1561">
      <c r="A1561" s="53"/>
      <c r="B1561" s="53"/>
      <c r="G1561" s="68" t="s">
        <v>62</v>
      </c>
    </row>
    <row r="1562">
      <c r="A1562" s="53"/>
      <c r="B1562" s="53"/>
      <c r="G1562" s="68" t="s">
        <v>62</v>
      </c>
    </row>
    <row r="1563">
      <c r="A1563" s="53"/>
      <c r="B1563" s="53"/>
      <c r="G1563" s="68" t="s">
        <v>62</v>
      </c>
    </row>
    <row r="1564">
      <c r="A1564" s="53"/>
      <c r="B1564" s="53"/>
      <c r="G1564" s="68" t="s">
        <v>62</v>
      </c>
    </row>
    <row r="1565">
      <c r="A1565" s="53"/>
      <c r="B1565" s="53"/>
      <c r="G1565" s="68" t="s">
        <v>62</v>
      </c>
    </row>
    <row r="1566">
      <c r="A1566" s="53"/>
      <c r="B1566" s="53"/>
      <c r="G1566" s="68" t="s">
        <v>62</v>
      </c>
    </row>
    <row r="1567">
      <c r="A1567" s="53"/>
      <c r="B1567" s="53"/>
      <c r="G1567" s="68" t="s">
        <v>62</v>
      </c>
    </row>
    <row r="1568">
      <c r="A1568" s="53"/>
      <c r="B1568" s="53"/>
      <c r="G1568" s="68" t="s">
        <v>62</v>
      </c>
    </row>
    <row r="1569">
      <c r="A1569" s="53"/>
      <c r="B1569" s="53"/>
      <c r="G1569" s="68" t="s">
        <v>62</v>
      </c>
    </row>
    <row r="1570">
      <c r="A1570" s="53"/>
      <c r="B1570" s="53"/>
      <c r="G1570" s="68" t="s">
        <v>62</v>
      </c>
    </row>
    <row r="1571">
      <c r="A1571" s="53"/>
      <c r="B1571" s="53"/>
      <c r="G1571" s="68" t="s">
        <v>62</v>
      </c>
    </row>
    <row r="1572">
      <c r="A1572" s="53"/>
      <c r="B1572" s="53"/>
      <c r="G1572" s="68" t="s">
        <v>62</v>
      </c>
    </row>
    <row r="1573">
      <c r="A1573" s="53"/>
      <c r="B1573" s="53"/>
      <c r="G1573" s="68" t="s">
        <v>62</v>
      </c>
    </row>
    <row r="1574">
      <c r="A1574" s="53"/>
      <c r="B1574" s="53"/>
      <c r="G1574" s="68" t="s">
        <v>62</v>
      </c>
    </row>
    <row r="1575">
      <c r="A1575" s="53"/>
      <c r="B1575" s="53"/>
      <c r="G1575" s="68" t="s">
        <v>62</v>
      </c>
    </row>
    <row r="1576">
      <c r="A1576" s="53"/>
      <c r="B1576" s="53"/>
      <c r="G1576" s="68" t="s">
        <v>62</v>
      </c>
    </row>
    <row r="1577">
      <c r="A1577" s="53"/>
      <c r="B1577" s="53"/>
      <c r="G1577" s="68" t="s">
        <v>62</v>
      </c>
    </row>
    <row r="1578">
      <c r="A1578" s="53"/>
      <c r="B1578" s="53"/>
      <c r="G1578" s="68" t="s">
        <v>62</v>
      </c>
    </row>
    <row r="1579">
      <c r="A1579" s="53"/>
      <c r="B1579" s="53"/>
      <c r="G1579" s="68" t="s">
        <v>62</v>
      </c>
    </row>
    <row r="1580">
      <c r="A1580" s="53"/>
      <c r="B1580" s="53"/>
      <c r="G1580" s="68" t="s">
        <v>62</v>
      </c>
    </row>
    <row r="1581">
      <c r="A1581" s="53"/>
      <c r="B1581" s="53"/>
      <c r="G1581" s="68" t="s">
        <v>62</v>
      </c>
    </row>
    <row r="1582">
      <c r="A1582" s="53"/>
      <c r="B1582" s="53"/>
      <c r="G1582" s="68" t="s">
        <v>62</v>
      </c>
    </row>
    <row r="1583">
      <c r="A1583" s="53"/>
      <c r="B1583" s="53"/>
      <c r="G1583" s="68" t="s">
        <v>62</v>
      </c>
    </row>
    <row r="1584">
      <c r="A1584" s="53"/>
      <c r="B1584" s="53"/>
      <c r="G1584" s="68" t="s">
        <v>62</v>
      </c>
    </row>
    <row r="1585">
      <c r="A1585" s="53"/>
      <c r="B1585" s="53"/>
      <c r="G1585" s="68" t="s">
        <v>62</v>
      </c>
    </row>
    <row r="1586">
      <c r="A1586" s="53"/>
      <c r="B1586" s="53"/>
      <c r="G1586" s="68" t="s">
        <v>62</v>
      </c>
    </row>
    <row r="1587">
      <c r="A1587" s="53"/>
      <c r="B1587" s="53"/>
      <c r="G1587" s="68" t="s">
        <v>62</v>
      </c>
    </row>
    <row r="1588">
      <c r="A1588" s="53"/>
      <c r="B1588" s="53"/>
      <c r="G1588" s="68" t="s">
        <v>62</v>
      </c>
    </row>
    <row r="1589">
      <c r="A1589" s="53"/>
      <c r="B1589" s="53"/>
      <c r="G1589" s="68" t="s">
        <v>62</v>
      </c>
    </row>
    <row r="1590">
      <c r="A1590" s="53"/>
      <c r="B1590" s="53"/>
      <c r="G1590" s="68" t="s">
        <v>62</v>
      </c>
    </row>
    <row r="1591">
      <c r="A1591" s="53"/>
      <c r="B1591" s="53"/>
      <c r="G1591" s="68" t="s">
        <v>62</v>
      </c>
    </row>
    <row r="1592">
      <c r="A1592" s="53"/>
      <c r="B1592" s="53"/>
      <c r="G1592" s="68" t="s">
        <v>62</v>
      </c>
    </row>
    <row r="1593">
      <c r="A1593" s="53"/>
      <c r="B1593" s="53"/>
      <c r="G1593" s="68" t="s">
        <v>62</v>
      </c>
    </row>
    <row r="1594">
      <c r="A1594" s="53"/>
      <c r="B1594" s="53"/>
      <c r="G1594" s="68" t="s">
        <v>62</v>
      </c>
    </row>
    <row r="1595">
      <c r="A1595" s="53"/>
      <c r="B1595" s="53"/>
      <c r="G1595" s="68" t="s">
        <v>62</v>
      </c>
    </row>
    <row r="1596">
      <c r="A1596" s="53"/>
      <c r="B1596" s="53"/>
      <c r="G1596" s="68" t="s">
        <v>62</v>
      </c>
    </row>
    <row r="1597">
      <c r="A1597" s="53"/>
      <c r="B1597" s="53"/>
      <c r="G1597" s="68" t="s">
        <v>62</v>
      </c>
    </row>
    <row r="1598">
      <c r="A1598" s="53"/>
      <c r="B1598" s="53"/>
      <c r="G1598" s="68" t="s">
        <v>62</v>
      </c>
    </row>
    <row r="1599">
      <c r="A1599" s="53"/>
      <c r="B1599" s="53"/>
      <c r="G1599" s="68" t="s">
        <v>62</v>
      </c>
    </row>
    <row r="1600">
      <c r="A1600" s="53"/>
      <c r="B1600" s="53"/>
      <c r="G1600" s="68" t="s">
        <v>62</v>
      </c>
    </row>
    <row r="1601">
      <c r="A1601" s="53"/>
      <c r="B1601" s="53"/>
      <c r="G1601" s="68" t="s">
        <v>62</v>
      </c>
    </row>
    <row r="1602">
      <c r="A1602" s="53"/>
      <c r="B1602" s="53"/>
      <c r="G1602" s="68" t="s">
        <v>62</v>
      </c>
    </row>
    <row r="1603">
      <c r="A1603" s="53"/>
      <c r="B1603" s="53"/>
      <c r="G1603" s="68" t="s">
        <v>62</v>
      </c>
    </row>
    <row r="1604">
      <c r="A1604" s="53"/>
      <c r="B1604" s="53"/>
      <c r="G1604" s="68" t="s">
        <v>62</v>
      </c>
    </row>
    <row r="1605">
      <c r="A1605" s="53"/>
      <c r="B1605" s="53"/>
      <c r="G1605" s="68" t="s">
        <v>62</v>
      </c>
    </row>
    <row r="1606">
      <c r="A1606" s="53"/>
      <c r="B1606" s="53"/>
      <c r="G1606" s="68" t="s">
        <v>62</v>
      </c>
    </row>
    <row r="1607">
      <c r="A1607" s="53"/>
      <c r="B1607" s="53"/>
      <c r="G1607" s="68" t="s">
        <v>62</v>
      </c>
    </row>
    <row r="1608">
      <c r="A1608" s="53"/>
      <c r="B1608" s="53"/>
      <c r="G1608" s="68" t="s">
        <v>62</v>
      </c>
    </row>
    <row r="1609">
      <c r="A1609" s="53"/>
      <c r="B1609" s="53"/>
      <c r="G1609" s="68" t="s">
        <v>62</v>
      </c>
    </row>
    <row r="1610">
      <c r="A1610" s="53"/>
      <c r="B1610" s="53"/>
      <c r="G1610" s="68" t="s">
        <v>62</v>
      </c>
    </row>
    <row r="1611">
      <c r="A1611" s="53"/>
      <c r="B1611" s="53"/>
      <c r="G1611" s="68" t="s">
        <v>62</v>
      </c>
    </row>
    <row r="1612">
      <c r="A1612" s="53"/>
      <c r="B1612" s="53"/>
      <c r="G1612" s="68" t="s">
        <v>62</v>
      </c>
    </row>
    <row r="1613">
      <c r="A1613" s="53"/>
      <c r="B1613" s="53"/>
      <c r="G1613" s="68" t="s">
        <v>62</v>
      </c>
    </row>
    <row r="1614">
      <c r="A1614" s="53"/>
      <c r="B1614" s="53"/>
      <c r="G1614" s="68" t="s">
        <v>62</v>
      </c>
    </row>
    <row r="1615">
      <c r="A1615" s="53"/>
      <c r="B1615" s="53"/>
      <c r="G1615" s="68" t="s">
        <v>62</v>
      </c>
    </row>
    <row r="1616">
      <c r="A1616" s="53"/>
      <c r="B1616" s="53"/>
      <c r="G1616" s="68" t="s">
        <v>62</v>
      </c>
    </row>
    <row r="1617">
      <c r="A1617" s="53"/>
      <c r="B1617" s="53"/>
      <c r="G1617" s="68" t="s">
        <v>62</v>
      </c>
    </row>
    <row r="1618">
      <c r="A1618" s="53"/>
      <c r="B1618" s="53"/>
      <c r="G1618" s="68" t="s">
        <v>62</v>
      </c>
    </row>
    <row r="1619">
      <c r="A1619" s="53"/>
      <c r="B1619" s="53"/>
      <c r="G1619" s="68" t="s">
        <v>62</v>
      </c>
    </row>
    <row r="1620">
      <c r="A1620" s="53"/>
      <c r="B1620" s="53"/>
      <c r="G1620" s="68" t="s">
        <v>62</v>
      </c>
    </row>
    <row r="1621">
      <c r="A1621" s="53"/>
      <c r="B1621" s="53"/>
      <c r="G1621" s="68" t="s">
        <v>62</v>
      </c>
    </row>
    <row r="1622">
      <c r="A1622" s="53"/>
      <c r="B1622" s="53"/>
      <c r="G1622" s="68" t="s">
        <v>62</v>
      </c>
    </row>
    <row r="1623">
      <c r="A1623" s="53"/>
      <c r="B1623" s="53"/>
      <c r="G1623" s="68" t="s">
        <v>62</v>
      </c>
    </row>
    <row r="1624">
      <c r="A1624" s="53"/>
      <c r="B1624" s="53"/>
      <c r="G1624" s="68" t="s">
        <v>62</v>
      </c>
    </row>
    <row r="1625">
      <c r="A1625" s="53"/>
      <c r="B1625" s="53"/>
      <c r="G1625" s="68" t="s">
        <v>62</v>
      </c>
    </row>
    <row r="1626">
      <c r="A1626" s="53"/>
      <c r="B1626" s="53"/>
      <c r="G1626" s="68" t="s">
        <v>62</v>
      </c>
    </row>
    <row r="1627">
      <c r="A1627" s="53"/>
      <c r="B1627" s="53"/>
      <c r="G1627" s="68" t="s">
        <v>62</v>
      </c>
    </row>
    <row r="1628">
      <c r="A1628" s="53"/>
      <c r="B1628" s="53"/>
      <c r="G1628" s="68" t="s">
        <v>62</v>
      </c>
    </row>
    <row r="1629">
      <c r="A1629" s="53"/>
      <c r="B1629" s="53"/>
      <c r="G1629" s="68" t="s">
        <v>62</v>
      </c>
    </row>
    <row r="1630">
      <c r="A1630" s="53"/>
      <c r="B1630" s="53"/>
      <c r="G1630" s="68" t="s">
        <v>62</v>
      </c>
    </row>
    <row r="1631">
      <c r="A1631" s="53"/>
      <c r="B1631" s="53"/>
      <c r="G1631" s="68" t="s">
        <v>62</v>
      </c>
    </row>
    <row r="1632">
      <c r="A1632" s="53"/>
      <c r="B1632" s="53"/>
      <c r="G1632" s="68" t="s">
        <v>62</v>
      </c>
    </row>
    <row r="1633">
      <c r="A1633" s="53"/>
      <c r="B1633" s="53"/>
      <c r="G1633" s="68" t="s">
        <v>62</v>
      </c>
    </row>
    <row r="1634">
      <c r="A1634" s="53"/>
      <c r="B1634" s="53"/>
      <c r="G1634" s="68" t="s">
        <v>62</v>
      </c>
    </row>
    <row r="1635">
      <c r="A1635" s="53"/>
      <c r="B1635" s="53"/>
      <c r="G1635" s="68" t="s">
        <v>62</v>
      </c>
    </row>
    <row r="1636">
      <c r="A1636" s="53"/>
      <c r="B1636" s="53"/>
      <c r="G1636" s="68" t="s">
        <v>62</v>
      </c>
    </row>
    <row r="1637">
      <c r="A1637" s="53"/>
      <c r="B1637" s="53"/>
      <c r="G1637" s="68" t="s">
        <v>62</v>
      </c>
    </row>
    <row r="1638">
      <c r="A1638" s="53"/>
      <c r="B1638" s="53"/>
      <c r="G1638" s="68" t="s">
        <v>62</v>
      </c>
    </row>
    <row r="1639">
      <c r="A1639" s="53"/>
      <c r="B1639" s="53"/>
      <c r="G1639" s="68" t="s">
        <v>62</v>
      </c>
    </row>
    <row r="1640">
      <c r="A1640" s="53"/>
      <c r="B1640" s="53"/>
      <c r="G1640" s="68" t="s">
        <v>62</v>
      </c>
    </row>
    <row r="1641">
      <c r="A1641" s="53"/>
      <c r="B1641" s="53"/>
      <c r="G1641" s="68" t="s">
        <v>62</v>
      </c>
    </row>
    <row r="1642">
      <c r="A1642" s="53"/>
      <c r="B1642" s="53"/>
      <c r="G1642" s="68" t="s">
        <v>62</v>
      </c>
    </row>
    <row r="1643">
      <c r="A1643" s="53"/>
      <c r="B1643" s="53"/>
      <c r="G1643" s="68" t="s">
        <v>62</v>
      </c>
    </row>
    <row r="1644">
      <c r="A1644" s="53"/>
      <c r="B1644" s="53"/>
      <c r="G1644" s="68" t="s">
        <v>62</v>
      </c>
    </row>
    <row r="1645">
      <c r="A1645" s="53"/>
      <c r="B1645" s="53"/>
      <c r="G1645" s="68" t="s">
        <v>62</v>
      </c>
    </row>
    <row r="1646">
      <c r="A1646" s="53"/>
      <c r="B1646" s="53"/>
      <c r="G1646" s="68" t="s">
        <v>62</v>
      </c>
    </row>
    <row r="1647">
      <c r="A1647" s="53"/>
      <c r="B1647" s="53"/>
      <c r="G1647" s="68" t="s">
        <v>62</v>
      </c>
    </row>
    <row r="1648">
      <c r="A1648" s="53"/>
      <c r="B1648" s="53"/>
      <c r="G1648" s="68" t="s">
        <v>62</v>
      </c>
    </row>
    <row r="1649">
      <c r="A1649" s="53"/>
      <c r="B1649" s="53"/>
      <c r="G1649" s="68" t="s">
        <v>62</v>
      </c>
    </row>
    <row r="1650">
      <c r="A1650" s="53"/>
      <c r="B1650" s="53"/>
      <c r="G1650" s="68" t="s">
        <v>62</v>
      </c>
    </row>
    <row r="1651">
      <c r="A1651" s="53"/>
      <c r="B1651" s="53"/>
      <c r="G1651" s="68" t="s">
        <v>62</v>
      </c>
    </row>
    <row r="1652">
      <c r="A1652" s="53"/>
      <c r="B1652" s="53"/>
      <c r="G1652" s="68" t="s">
        <v>62</v>
      </c>
    </row>
    <row r="1653">
      <c r="A1653" s="53"/>
      <c r="B1653" s="53"/>
      <c r="G1653" s="68" t="s">
        <v>62</v>
      </c>
    </row>
    <row r="1654">
      <c r="A1654" s="53"/>
      <c r="B1654" s="53"/>
      <c r="G1654" s="68" t="s">
        <v>62</v>
      </c>
    </row>
    <row r="1655">
      <c r="A1655" s="53"/>
      <c r="B1655" s="53"/>
      <c r="G1655" s="68" t="s">
        <v>62</v>
      </c>
    </row>
    <row r="1656">
      <c r="A1656" s="53"/>
      <c r="B1656" s="53"/>
      <c r="G1656" s="68" t="s">
        <v>62</v>
      </c>
    </row>
    <row r="1657">
      <c r="A1657" s="53"/>
      <c r="B1657" s="53"/>
      <c r="G1657" s="68" t="s">
        <v>62</v>
      </c>
    </row>
    <row r="1658">
      <c r="A1658" s="53"/>
      <c r="B1658" s="53"/>
      <c r="G1658" s="68" t="s">
        <v>62</v>
      </c>
    </row>
    <row r="1659">
      <c r="A1659" s="53"/>
      <c r="B1659" s="53"/>
      <c r="G1659" s="68" t="s">
        <v>62</v>
      </c>
    </row>
    <row r="1660">
      <c r="A1660" s="53"/>
      <c r="B1660" s="53"/>
      <c r="G1660" s="68" t="s">
        <v>62</v>
      </c>
    </row>
    <row r="1661">
      <c r="A1661" s="53"/>
      <c r="B1661" s="53"/>
      <c r="G1661" s="68" t="s">
        <v>62</v>
      </c>
    </row>
    <row r="1662">
      <c r="A1662" s="53"/>
      <c r="B1662" s="53"/>
      <c r="G1662" s="68" t="s">
        <v>62</v>
      </c>
    </row>
    <row r="1663">
      <c r="A1663" s="53"/>
      <c r="B1663" s="53"/>
      <c r="G1663" s="68" t="s">
        <v>62</v>
      </c>
    </row>
    <row r="1664">
      <c r="A1664" s="53"/>
      <c r="B1664" s="53"/>
      <c r="G1664" s="68" t="s">
        <v>62</v>
      </c>
    </row>
    <row r="1665">
      <c r="A1665" s="53"/>
      <c r="B1665" s="53"/>
      <c r="G1665" s="68" t="s">
        <v>62</v>
      </c>
    </row>
    <row r="1666">
      <c r="A1666" s="53"/>
      <c r="B1666" s="53"/>
      <c r="G1666" s="68" t="s">
        <v>62</v>
      </c>
    </row>
    <row r="1667">
      <c r="A1667" s="53"/>
      <c r="B1667" s="53"/>
      <c r="G1667" s="68" t="s">
        <v>62</v>
      </c>
    </row>
    <row r="1668">
      <c r="A1668" s="53"/>
      <c r="B1668" s="53"/>
      <c r="G1668" s="68" t="s">
        <v>62</v>
      </c>
    </row>
    <row r="1669">
      <c r="A1669" s="53"/>
      <c r="B1669" s="53"/>
      <c r="G1669" s="68" t="s">
        <v>62</v>
      </c>
    </row>
    <row r="1670">
      <c r="A1670" s="53"/>
      <c r="B1670" s="53"/>
      <c r="G1670" s="68" t="s">
        <v>62</v>
      </c>
    </row>
    <row r="1671">
      <c r="A1671" s="53"/>
      <c r="B1671" s="53"/>
      <c r="G1671" s="68" t="s">
        <v>62</v>
      </c>
    </row>
    <row r="1672">
      <c r="A1672" s="53"/>
      <c r="B1672" s="53"/>
      <c r="G1672" s="68" t="s">
        <v>62</v>
      </c>
    </row>
    <row r="1673">
      <c r="A1673" s="53"/>
      <c r="B1673" s="53"/>
      <c r="G1673" s="68" t="s">
        <v>62</v>
      </c>
    </row>
    <row r="1674">
      <c r="A1674" s="53"/>
      <c r="B1674" s="53"/>
      <c r="G1674" s="68" t="s">
        <v>62</v>
      </c>
    </row>
    <row r="1675">
      <c r="A1675" s="53"/>
      <c r="B1675" s="53"/>
      <c r="G1675" s="68" t="s">
        <v>62</v>
      </c>
    </row>
    <row r="1676">
      <c r="A1676" s="53"/>
      <c r="B1676" s="53"/>
      <c r="G1676" s="68" t="s">
        <v>62</v>
      </c>
    </row>
    <row r="1677">
      <c r="A1677" s="53"/>
      <c r="B1677" s="53"/>
      <c r="G1677" s="68" t="s">
        <v>62</v>
      </c>
    </row>
    <row r="1678">
      <c r="A1678" s="53"/>
      <c r="B1678" s="53"/>
      <c r="G1678" s="68" t="s">
        <v>62</v>
      </c>
    </row>
    <row r="1679">
      <c r="A1679" s="53"/>
      <c r="B1679" s="53"/>
      <c r="G1679" s="68" t="s">
        <v>62</v>
      </c>
    </row>
    <row r="1680">
      <c r="A1680" s="53"/>
      <c r="B1680" s="53"/>
      <c r="G1680" s="68" t="s">
        <v>62</v>
      </c>
    </row>
    <row r="1681">
      <c r="A1681" s="53"/>
      <c r="B1681" s="53"/>
      <c r="G1681" s="68" t="s">
        <v>62</v>
      </c>
    </row>
    <row r="1682">
      <c r="A1682" s="53"/>
      <c r="B1682" s="53"/>
      <c r="G1682" s="68" t="s">
        <v>62</v>
      </c>
    </row>
    <row r="1683">
      <c r="A1683" s="53"/>
      <c r="B1683" s="53"/>
      <c r="G1683" s="68" t="s">
        <v>62</v>
      </c>
    </row>
    <row r="1684">
      <c r="A1684" s="53"/>
      <c r="B1684" s="53"/>
      <c r="G1684" s="68" t="s">
        <v>62</v>
      </c>
    </row>
    <row r="1685">
      <c r="A1685" s="53"/>
      <c r="B1685" s="53"/>
      <c r="G1685" s="68" t="s">
        <v>62</v>
      </c>
    </row>
    <row r="1686">
      <c r="A1686" s="53"/>
      <c r="B1686" s="53"/>
      <c r="G1686" s="68" t="s">
        <v>62</v>
      </c>
    </row>
    <row r="1687">
      <c r="A1687" s="53"/>
      <c r="B1687" s="53"/>
      <c r="G1687" s="68" t="s">
        <v>62</v>
      </c>
    </row>
    <row r="1688">
      <c r="A1688" s="53"/>
      <c r="B1688" s="53"/>
      <c r="G1688" s="68" t="s">
        <v>62</v>
      </c>
    </row>
    <row r="1689">
      <c r="A1689" s="53"/>
      <c r="B1689" s="53"/>
      <c r="G1689" s="68" t="s">
        <v>62</v>
      </c>
    </row>
    <row r="1690">
      <c r="A1690" s="53"/>
      <c r="B1690" s="53"/>
      <c r="G1690" s="68" t="s">
        <v>62</v>
      </c>
    </row>
    <row r="1691">
      <c r="A1691" s="53"/>
      <c r="B1691" s="53"/>
      <c r="G1691" s="68" t="s">
        <v>62</v>
      </c>
    </row>
    <row r="1692">
      <c r="A1692" s="53"/>
      <c r="B1692" s="53"/>
      <c r="G1692" s="68" t="s">
        <v>62</v>
      </c>
    </row>
    <row r="1693">
      <c r="A1693" s="53"/>
      <c r="B1693" s="53"/>
      <c r="G1693" s="68" t="s">
        <v>62</v>
      </c>
    </row>
    <row r="1694">
      <c r="A1694" s="53"/>
      <c r="B1694" s="53"/>
      <c r="G1694" s="68" t="s">
        <v>62</v>
      </c>
    </row>
    <row r="1695">
      <c r="A1695" s="53"/>
      <c r="B1695" s="53"/>
      <c r="G1695" s="68" t="s">
        <v>62</v>
      </c>
    </row>
    <row r="1696">
      <c r="A1696" s="53"/>
      <c r="B1696" s="53"/>
      <c r="G1696" s="68" t="s">
        <v>62</v>
      </c>
    </row>
    <row r="1697">
      <c r="A1697" s="53"/>
      <c r="B1697" s="53"/>
      <c r="G1697" s="68" t="s">
        <v>62</v>
      </c>
    </row>
    <row r="1698">
      <c r="A1698" s="53"/>
      <c r="B1698" s="53"/>
      <c r="G1698" s="68" t="s">
        <v>62</v>
      </c>
    </row>
    <row r="1699">
      <c r="A1699" s="53"/>
      <c r="B1699" s="53"/>
      <c r="G1699" s="68" t="s">
        <v>62</v>
      </c>
    </row>
    <row r="1700">
      <c r="A1700" s="53"/>
      <c r="B1700" s="53"/>
      <c r="G1700" s="68" t="s">
        <v>62</v>
      </c>
    </row>
    <row r="1701">
      <c r="A1701" s="53"/>
      <c r="B1701" s="53"/>
      <c r="G1701" s="68" t="s">
        <v>62</v>
      </c>
    </row>
    <row r="1702">
      <c r="A1702" s="53"/>
      <c r="B1702" s="53"/>
      <c r="G1702" s="68" t="s">
        <v>62</v>
      </c>
    </row>
    <row r="1703">
      <c r="A1703" s="53"/>
      <c r="B1703" s="53"/>
      <c r="G1703" s="68" t="s">
        <v>62</v>
      </c>
    </row>
    <row r="1704">
      <c r="A1704" s="53"/>
      <c r="B1704" s="53"/>
      <c r="G1704" s="68" t="s">
        <v>62</v>
      </c>
    </row>
    <row r="1705">
      <c r="A1705" s="53"/>
      <c r="B1705" s="53"/>
      <c r="G1705" s="68" t="s">
        <v>62</v>
      </c>
    </row>
    <row r="1706">
      <c r="A1706" s="53"/>
      <c r="B1706" s="53"/>
      <c r="G1706" s="68" t="s">
        <v>62</v>
      </c>
    </row>
    <row r="1707">
      <c r="A1707" s="53"/>
      <c r="B1707" s="53"/>
      <c r="G1707" s="68" t="s">
        <v>62</v>
      </c>
    </row>
  </sheetData>
  <autoFilter ref="$A$28:$F$80"/>
  <mergeCells count="4">
    <mergeCell ref="C1:D1"/>
    <mergeCell ref="B2:B3"/>
    <mergeCell ref="E2:E3"/>
    <mergeCell ref="A27:F27"/>
  </mergeCells>
  <dataValidations>
    <dataValidation type="list" allowBlank="1" showErrorMessage="1" sqref="D2 B4">
      <formula1>'Helper Lists'!$A$1:$A1707</formula1>
    </dataValidation>
    <dataValidation type="list" allowBlank="1" showErrorMessage="1" sqref="B2">
      <formula1>'Data Tab'!$A$1:$A1707</formula1>
    </dataValidation>
    <dataValidation type="list" allowBlank="1" showErrorMessage="1" sqref="C1">
      <formula1>'API Size'!$A$1:$A1707</formula1>
    </dataValidation>
  </dataValidation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30.25"/>
    <col customWidth="1" min="4" max="4" width="12.88"/>
    <col customWidth="1" min="5" max="5" width="19.75"/>
    <col customWidth="1" min="6" max="6" width="17.25"/>
    <col customWidth="1" min="7" max="7" width="17.75"/>
    <col customWidth="1" min="8" max="8" width="10.88"/>
    <col customWidth="1" min="9" max="9" width="15.25"/>
    <col customWidth="1" min="10" max="10" width="16.0"/>
    <col customWidth="1" min="11" max="11" width="15.75"/>
    <col customWidth="1" min="12" max="12" width="16.75"/>
    <col customWidth="1" min="13" max="13" width="22.75"/>
    <col customWidth="1" min="14" max="14" width="14.75"/>
    <col customWidth="1" min="15" max="15" width="21.63"/>
    <col customWidth="1" min="16" max="16" width="15.75"/>
    <col customWidth="1" min="17" max="17" width="12.25"/>
    <col customWidth="1" min="18" max="18" width="11.13"/>
    <col customWidth="1" min="19" max="24" width="30.25"/>
  </cols>
  <sheetData>
    <row r="1">
      <c r="A1" s="4" t="s">
        <v>3</v>
      </c>
      <c r="B1" s="4" t="s">
        <v>4</v>
      </c>
      <c r="C1" s="6" t="s">
        <v>5</v>
      </c>
      <c r="D1" s="7" t="s">
        <v>6</v>
      </c>
      <c r="E1" s="7" t="s">
        <v>7</v>
      </c>
      <c r="F1" s="9" t="s">
        <v>8</v>
      </c>
      <c r="G1" s="9" t="s">
        <v>9</v>
      </c>
      <c r="H1" s="7" t="s">
        <v>10</v>
      </c>
      <c r="I1" s="7" t="s">
        <v>11</v>
      </c>
      <c r="J1" s="10" t="s">
        <v>12</v>
      </c>
      <c r="K1" s="11" t="s">
        <v>13</v>
      </c>
      <c r="L1" s="11" t="s">
        <v>14</v>
      </c>
      <c r="M1" s="10" t="s">
        <v>15</v>
      </c>
      <c r="N1" s="9" t="s">
        <v>16</v>
      </c>
      <c r="O1" s="12" t="s">
        <v>17</v>
      </c>
      <c r="P1" s="12" t="s">
        <v>18</v>
      </c>
      <c r="Q1" s="13" t="s">
        <v>19</v>
      </c>
      <c r="R1" s="11" t="s">
        <v>20</v>
      </c>
      <c r="S1" s="9" t="s">
        <v>21</v>
      </c>
      <c r="T1" s="14"/>
      <c r="U1" s="15"/>
      <c r="V1" s="15"/>
      <c r="W1" s="15"/>
      <c r="X1" s="15"/>
    </row>
    <row r="2">
      <c r="A2" s="16" t="s">
        <v>22</v>
      </c>
      <c r="B2" s="19" t="s">
        <v>24</v>
      </c>
      <c r="C2" s="16" t="s">
        <v>26</v>
      </c>
      <c r="D2" s="22">
        <v>41.0</v>
      </c>
      <c r="E2" s="22">
        <v>12.0</v>
      </c>
      <c r="F2" s="22">
        <v>26.0</v>
      </c>
      <c r="G2" s="22">
        <v>3.0</v>
      </c>
      <c r="H2" s="22">
        <v>67.0</v>
      </c>
      <c r="I2" s="22">
        <v>29.0</v>
      </c>
      <c r="J2" s="11">
        <v>0.2927</v>
      </c>
      <c r="K2" s="11">
        <v>0.6341</v>
      </c>
      <c r="L2" s="11">
        <v>0.0732</v>
      </c>
      <c r="M2" s="11">
        <v>0.4328</v>
      </c>
      <c r="N2" s="9"/>
      <c r="O2" s="23">
        <v>1.76</v>
      </c>
      <c r="P2" s="23">
        <v>1.63</v>
      </c>
      <c r="Q2" s="11">
        <v>0.9268</v>
      </c>
      <c r="R2" s="11">
        <v>0.3158</v>
      </c>
      <c r="S2" s="24"/>
      <c r="T2" s="15"/>
      <c r="U2" s="15"/>
      <c r="V2" s="15"/>
      <c r="W2" s="15"/>
      <c r="X2" s="15"/>
    </row>
    <row r="3">
      <c r="A3" s="27" t="s">
        <v>29</v>
      </c>
      <c r="B3" s="29" t="s">
        <v>30</v>
      </c>
      <c r="C3" s="31" t="s">
        <v>26</v>
      </c>
      <c r="D3" s="32">
        <v>65.0</v>
      </c>
      <c r="E3" s="32">
        <v>39.0</v>
      </c>
      <c r="F3" s="34">
        <v>21.0</v>
      </c>
      <c r="G3" s="32">
        <v>5.0</v>
      </c>
      <c r="H3" s="32">
        <v>143.0</v>
      </c>
      <c r="I3" s="32">
        <v>83.0</v>
      </c>
      <c r="J3" s="36">
        <v>0.6</v>
      </c>
      <c r="K3" s="36">
        <v>0.3231</v>
      </c>
      <c r="L3" s="36">
        <v>0.0769</v>
      </c>
      <c r="M3" s="37">
        <v>0.5</v>
      </c>
      <c r="N3" s="38">
        <v>0.5804</v>
      </c>
      <c r="O3" s="39">
        <v>2.38</v>
      </c>
      <c r="P3" s="41">
        <v>2.2</v>
      </c>
      <c r="Q3" s="37">
        <v>0.9231</v>
      </c>
      <c r="R3" s="37">
        <v>0.65</v>
      </c>
      <c r="S3" s="42"/>
      <c r="T3" s="43"/>
      <c r="U3" s="27"/>
      <c r="V3" s="44"/>
      <c r="W3" s="44"/>
      <c r="X3" s="15"/>
    </row>
    <row r="4">
      <c r="A4" s="27" t="s">
        <v>32</v>
      </c>
      <c r="B4" s="47"/>
      <c r="C4" s="31" t="s">
        <v>33</v>
      </c>
      <c r="D4" s="48">
        <v>55.0</v>
      </c>
      <c r="E4" s="48">
        <v>19.0</v>
      </c>
      <c r="F4" s="51">
        <v>31.0</v>
      </c>
      <c r="G4" s="48">
        <v>5.0</v>
      </c>
      <c r="H4" s="48">
        <v>120.0</v>
      </c>
      <c r="I4" s="48">
        <v>70.0</v>
      </c>
      <c r="J4" s="36">
        <v>0.3455</v>
      </c>
      <c r="K4" s="36">
        <v>0.5636</v>
      </c>
      <c r="L4" s="36">
        <v>0.0909</v>
      </c>
      <c r="M4" s="37">
        <v>0.5833</v>
      </c>
      <c r="N4" s="54" t="s">
        <v>34</v>
      </c>
      <c r="O4" s="39">
        <v>2.4</v>
      </c>
      <c r="P4" s="41">
        <v>2.18181818181818</v>
      </c>
      <c r="Q4" s="37">
        <v>0.9091</v>
      </c>
      <c r="R4" s="37">
        <v>0.38</v>
      </c>
      <c r="S4" s="42"/>
      <c r="T4" s="55"/>
      <c r="U4" s="56"/>
      <c r="V4" s="44"/>
      <c r="W4" s="44"/>
      <c r="X4" s="15"/>
    </row>
    <row r="5">
      <c r="A5" s="16" t="s">
        <v>35</v>
      </c>
      <c r="B5" s="57" t="s">
        <v>36</v>
      </c>
      <c r="C5" s="16" t="s">
        <v>31</v>
      </c>
      <c r="D5" s="22">
        <v>122.0</v>
      </c>
      <c r="E5" s="22">
        <v>76.0</v>
      </c>
      <c r="F5" s="22">
        <v>34.0</v>
      </c>
      <c r="G5" s="22">
        <v>12.0</v>
      </c>
      <c r="H5" s="22">
        <v>364.0</v>
      </c>
      <c r="I5" s="22">
        <v>254.0</v>
      </c>
      <c r="J5" s="11">
        <v>0.623</v>
      </c>
      <c r="K5" s="11">
        <v>0.2787</v>
      </c>
      <c r="L5" s="11">
        <v>0.0984</v>
      </c>
      <c r="M5" s="11">
        <v>0.6978</v>
      </c>
      <c r="N5" s="9" t="s">
        <v>34</v>
      </c>
      <c r="O5" s="23">
        <v>3.3090909090909</v>
      </c>
      <c r="P5" s="23">
        <v>2.98360655737704</v>
      </c>
      <c r="Q5" s="11">
        <v>0.9016</v>
      </c>
      <c r="R5" s="11">
        <v>0.6909</v>
      </c>
      <c r="S5" s="24"/>
      <c r="T5" s="15"/>
      <c r="U5" s="15"/>
      <c r="V5" s="15"/>
      <c r="W5" s="15"/>
      <c r="X5" s="15"/>
    </row>
    <row r="6">
      <c r="A6" s="16" t="s">
        <v>37</v>
      </c>
      <c r="B6" s="29" t="s">
        <v>38</v>
      </c>
      <c r="C6" s="16" t="s">
        <v>31</v>
      </c>
      <c r="D6" s="9">
        <v>42.0</v>
      </c>
      <c r="E6" s="9">
        <v>14.0</v>
      </c>
      <c r="F6" s="9">
        <v>16.0</v>
      </c>
      <c r="G6" s="9">
        <v>12.0</v>
      </c>
      <c r="H6" s="9">
        <v>123.0</v>
      </c>
      <c r="I6" s="9">
        <v>93.0</v>
      </c>
      <c r="J6" s="11">
        <v>0.3333</v>
      </c>
      <c r="K6" s="11">
        <v>0.381</v>
      </c>
      <c r="L6" s="11">
        <v>0.2857</v>
      </c>
      <c r="M6" s="11">
        <v>0.711</v>
      </c>
      <c r="N6" s="59">
        <v>0.7561</v>
      </c>
      <c r="O6" s="23">
        <v>4.1</v>
      </c>
      <c r="P6" s="23">
        <v>2.93</v>
      </c>
      <c r="Q6" s="11">
        <v>0.7143</v>
      </c>
      <c r="R6" s="11">
        <v>0.4667</v>
      </c>
      <c r="S6" s="60"/>
      <c r="T6" s="15"/>
      <c r="U6" s="15"/>
      <c r="V6" s="15"/>
      <c r="W6" s="15"/>
      <c r="X6" s="15"/>
    </row>
    <row r="7">
      <c r="A7" s="27" t="s">
        <v>40</v>
      </c>
      <c r="B7" s="57" t="s">
        <v>41</v>
      </c>
      <c r="C7" s="31" t="s">
        <v>42</v>
      </c>
      <c r="D7" s="48">
        <v>135.0</v>
      </c>
      <c r="E7" s="48">
        <v>44.0</v>
      </c>
      <c r="F7" s="51">
        <v>74.0</v>
      </c>
      <c r="G7" s="48">
        <v>17.0</v>
      </c>
      <c r="H7" s="48">
        <v>219.0</v>
      </c>
      <c r="I7" s="48">
        <v>101.0</v>
      </c>
      <c r="J7" s="36">
        <v>0.3259</v>
      </c>
      <c r="K7" s="36">
        <v>0.5481</v>
      </c>
      <c r="L7" s="36">
        <v>0.1259</v>
      </c>
      <c r="M7" s="37">
        <v>0.4612</v>
      </c>
      <c r="N7" s="54" t="s">
        <v>34</v>
      </c>
      <c r="O7" s="39">
        <v>1.85593220338983</v>
      </c>
      <c r="P7" s="41">
        <v>1.62222222222222</v>
      </c>
      <c r="Q7" s="37">
        <v>0.8741</v>
      </c>
      <c r="R7" s="37">
        <v>0.3729</v>
      </c>
      <c r="S7" s="42"/>
      <c r="T7" s="55"/>
      <c r="U7" s="56"/>
      <c r="V7" s="44"/>
      <c r="W7" s="44"/>
      <c r="X7" s="15"/>
    </row>
    <row r="8">
      <c r="A8" s="27" t="s">
        <v>44</v>
      </c>
      <c r="B8" s="29" t="s">
        <v>45</v>
      </c>
      <c r="C8" s="31" t="s">
        <v>46</v>
      </c>
      <c r="D8" s="32">
        <v>64.0</v>
      </c>
      <c r="E8" s="32">
        <v>19.0</v>
      </c>
      <c r="F8" s="34">
        <v>32.0</v>
      </c>
      <c r="G8" s="32">
        <v>13.0</v>
      </c>
      <c r="H8" s="32">
        <v>120.0</v>
      </c>
      <c r="I8" s="32">
        <v>69.0</v>
      </c>
      <c r="J8" s="36">
        <v>0.2969</v>
      </c>
      <c r="K8" s="36">
        <v>0.5</v>
      </c>
      <c r="L8" s="36">
        <v>0.2031</v>
      </c>
      <c r="M8" s="37">
        <v>0.6154</v>
      </c>
      <c r="N8" s="38">
        <v>0.575</v>
      </c>
      <c r="O8" s="39">
        <v>2.35</v>
      </c>
      <c r="P8" s="41">
        <v>1.88</v>
      </c>
      <c r="Q8" s="37">
        <v>0.7969</v>
      </c>
      <c r="R8" s="37">
        <v>0.3725</v>
      </c>
      <c r="S8" s="42"/>
      <c r="T8" s="55"/>
      <c r="U8" s="56"/>
      <c r="V8" s="44"/>
      <c r="W8" s="44"/>
      <c r="X8" s="15"/>
    </row>
    <row r="9">
      <c r="A9" s="27" t="s">
        <v>47</v>
      </c>
      <c r="B9" s="57" t="s">
        <v>48</v>
      </c>
      <c r="C9" s="31" t="s">
        <v>33</v>
      </c>
      <c r="D9" s="48">
        <v>13.0</v>
      </c>
      <c r="E9" s="48">
        <v>7.0</v>
      </c>
      <c r="F9" s="51">
        <v>4.0</v>
      </c>
      <c r="G9" s="48">
        <v>2.0</v>
      </c>
      <c r="H9" s="48">
        <v>29.0</v>
      </c>
      <c r="I9" s="48">
        <v>18.0</v>
      </c>
      <c r="J9" s="36">
        <v>0.5385</v>
      </c>
      <c r="K9" s="36">
        <v>0.3077</v>
      </c>
      <c r="L9" s="36">
        <v>0.1538</v>
      </c>
      <c r="M9" s="37">
        <v>0.6207</v>
      </c>
      <c r="N9" s="54" t="s">
        <v>34</v>
      </c>
      <c r="O9" s="39">
        <v>2.63636363636363</v>
      </c>
      <c r="P9" s="41">
        <v>2.23076923076923</v>
      </c>
      <c r="Q9" s="37">
        <v>0.8462</v>
      </c>
      <c r="R9" s="37">
        <v>0.6364</v>
      </c>
      <c r="S9" s="42"/>
      <c r="T9" s="55"/>
      <c r="U9" s="56"/>
      <c r="V9" s="44"/>
      <c r="W9" s="44"/>
      <c r="X9" s="15"/>
    </row>
    <row r="10">
      <c r="A10" s="16" t="s">
        <v>49</v>
      </c>
      <c r="B10" s="57" t="s">
        <v>50</v>
      </c>
      <c r="C10" s="16" t="s">
        <v>26</v>
      </c>
      <c r="D10" s="22">
        <v>30.0</v>
      </c>
      <c r="E10" s="22">
        <v>12.0</v>
      </c>
      <c r="F10" s="22">
        <v>13.0</v>
      </c>
      <c r="G10" s="22">
        <v>5.0</v>
      </c>
      <c r="H10" s="22">
        <v>61.0</v>
      </c>
      <c r="I10" s="22">
        <v>36.0</v>
      </c>
      <c r="J10" s="11">
        <v>0.4</v>
      </c>
      <c r="K10" s="11">
        <v>0.4333</v>
      </c>
      <c r="L10" s="11">
        <v>0.1667</v>
      </c>
      <c r="M10" s="11">
        <v>0.5902</v>
      </c>
      <c r="N10" s="9"/>
      <c r="O10" s="23">
        <v>2.44</v>
      </c>
      <c r="P10" s="23">
        <v>2.03</v>
      </c>
      <c r="Q10" s="11">
        <v>0.8333</v>
      </c>
      <c r="R10" s="11">
        <v>0.48</v>
      </c>
      <c r="S10" s="24"/>
      <c r="T10" s="15"/>
      <c r="U10" s="15"/>
      <c r="V10" s="15"/>
      <c r="W10" s="15"/>
      <c r="X10" s="15"/>
    </row>
    <row r="11">
      <c r="A11" s="27" t="s">
        <v>51</v>
      </c>
      <c r="B11" s="57" t="s">
        <v>52</v>
      </c>
      <c r="C11" s="31" t="s">
        <v>26</v>
      </c>
      <c r="D11" s="48">
        <v>95.0</v>
      </c>
      <c r="E11" s="48">
        <v>18.0</v>
      </c>
      <c r="F11" s="51">
        <v>61.0</v>
      </c>
      <c r="G11" s="48">
        <v>16.0</v>
      </c>
      <c r="H11" s="48">
        <v>175.0</v>
      </c>
      <c r="I11" s="48">
        <v>96.0</v>
      </c>
      <c r="J11" s="36">
        <v>0.1895</v>
      </c>
      <c r="K11" s="36">
        <v>0.6421</v>
      </c>
      <c r="L11" s="36">
        <v>0.1684</v>
      </c>
      <c r="M11" s="37">
        <v>0.5486</v>
      </c>
      <c r="N11" s="54" t="s">
        <v>34</v>
      </c>
      <c r="O11" s="39">
        <v>2.21518987341772</v>
      </c>
      <c r="P11" s="41">
        <v>1.84210526315789</v>
      </c>
      <c r="Q11" s="37">
        <v>0.8316</v>
      </c>
      <c r="R11" s="37">
        <v>0.2278</v>
      </c>
      <c r="S11" s="42"/>
      <c r="T11" s="55"/>
      <c r="U11" s="56"/>
      <c r="V11" s="44"/>
      <c r="W11" s="44"/>
      <c r="X11" s="15"/>
    </row>
    <row r="12">
      <c r="A12" s="27" t="s">
        <v>53</v>
      </c>
      <c r="B12" s="57" t="s">
        <v>54</v>
      </c>
      <c r="C12" s="31" t="s">
        <v>55</v>
      </c>
      <c r="D12" s="48">
        <v>23.0</v>
      </c>
      <c r="E12" s="48">
        <v>11.0</v>
      </c>
      <c r="F12" s="51">
        <v>8.0</v>
      </c>
      <c r="G12" s="48">
        <v>4.0</v>
      </c>
      <c r="H12" s="48">
        <v>54.0</v>
      </c>
      <c r="I12" s="48">
        <v>35.0</v>
      </c>
      <c r="J12" s="36">
        <v>0.4783</v>
      </c>
      <c r="K12" s="36">
        <v>0.3478</v>
      </c>
      <c r="L12" s="36">
        <v>0.1739</v>
      </c>
      <c r="M12" s="37">
        <v>0.6481</v>
      </c>
      <c r="N12" s="54" t="s">
        <v>34</v>
      </c>
      <c r="O12" s="39">
        <v>2.84210526315789</v>
      </c>
      <c r="P12" s="41">
        <v>2.34782608695652</v>
      </c>
      <c r="Q12" s="37">
        <v>0.8261</v>
      </c>
      <c r="R12" s="37">
        <v>0.5789</v>
      </c>
      <c r="S12" s="42"/>
      <c r="T12" s="55"/>
      <c r="U12" s="56"/>
      <c r="V12" s="44"/>
      <c r="W12" s="44"/>
      <c r="X12" s="15"/>
    </row>
    <row r="13">
      <c r="A13" s="27" t="s">
        <v>56</v>
      </c>
      <c r="B13" s="57" t="s">
        <v>57</v>
      </c>
      <c r="C13" s="31" t="s">
        <v>46</v>
      </c>
      <c r="D13" s="48">
        <v>72.0</v>
      </c>
      <c r="E13" s="48">
        <v>9.0</v>
      </c>
      <c r="F13" s="51">
        <v>50.0</v>
      </c>
      <c r="G13" s="48">
        <v>13.0</v>
      </c>
      <c r="H13" s="48">
        <v>75.0</v>
      </c>
      <c r="I13" s="48">
        <v>16.0</v>
      </c>
      <c r="J13" s="36">
        <v>0.125</v>
      </c>
      <c r="K13" s="36">
        <v>0.6944</v>
      </c>
      <c r="L13" s="36">
        <v>0.1806</v>
      </c>
      <c r="M13" s="37">
        <v>0.2133</v>
      </c>
      <c r="N13" s="54" t="s">
        <v>34</v>
      </c>
      <c r="O13" s="39">
        <v>1.27118644067796</v>
      </c>
      <c r="P13" s="41">
        <v>1.04166666666666</v>
      </c>
      <c r="Q13" s="37">
        <v>0.8194</v>
      </c>
      <c r="R13" s="37">
        <v>0.1525</v>
      </c>
      <c r="S13" s="42"/>
      <c r="T13" s="55"/>
      <c r="U13" s="56"/>
      <c r="V13" s="44"/>
      <c r="W13" s="44"/>
      <c r="X13" s="15"/>
    </row>
    <row r="14">
      <c r="A14" s="65" t="s">
        <v>58</v>
      </c>
      <c r="B14" s="57" t="s">
        <v>59</v>
      </c>
      <c r="C14" s="66" t="s">
        <v>33</v>
      </c>
      <c r="D14" s="32">
        <v>115.0</v>
      </c>
      <c r="E14" s="32">
        <v>44.0</v>
      </c>
      <c r="F14" s="34">
        <v>47.0</v>
      </c>
      <c r="G14" s="32">
        <v>24.0</v>
      </c>
      <c r="H14" s="32">
        <v>255.0</v>
      </c>
      <c r="I14" s="32">
        <v>164.0</v>
      </c>
      <c r="J14" s="36">
        <v>0.3826</v>
      </c>
      <c r="K14" s="36">
        <v>0.4087</v>
      </c>
      <c r="L14" s="36">
        <v>0.2087</v>
      </c>
      <c r="M14" s="37">
        <v>0.6431</v>
      </c>
      <c r="N14" s="67"/>
      <c r="O14" s="39">
        <v>2.8</v>
      </c>
      <c r="P14" s="41">
        <v>2.22</v>
      </c>
      <c r="Q14" s="37">
        <v>0.7913</v>
      </c>
      <c r="R14" s="37">
        <v>0.4835</v>
      </c>
      <c r="S14" s="42"/>
      <c r="T14" s="55"/>
      <c r="U14" s="56"/>
      <c r="V14" s="44"/>
      <c r="W14" s="44"/>
      <c r="X14" s="15"/>
    </row>
    <row r="15">
      <c r="A15" s="27" t="s">
        <v>60</v>
      </c>
      <c r="B15" s="57" t="s">
        <v>61</v>
      </c>
      <c r="C15" s="31" t="s">
        <v>42</v>
      </c>
      <c r="D15" s="48">
        <v>250.0</v>
      </c>
      <c r="E15" s="48">
        <v>82.0</v>
      </c>
      <c r="F15" s="51">
        <v>115.0</v>
      </c>
      <c r="G15" s="48">
        <v>53.0</v>
      </c>
      <c r="H15" s="48">
        <v>638.0</v>
      </c>
      <c r="I15" s="48">
        <v>441.0</v>
      </c>
      <c r="J15" s="36">
        <v>0.328</v>
      </c>
      <c r="K15" s="36">
        <v>0.46</v>
      </c>
      <c r="L15" s="36">
        <v>0.212</v>
      </c>
      <c r="M15" s="37">
        <v>0.6912</v>
      </c>
      <c r="N15" s="54" t="s">
        <v>34</v>
      </c>
      <c r="O15" s="39">
        <v>3.23857868020304</v>
      </c>
      <c r="P15" s="41">
        <v>2.552</v>
      </c>
      <c r="Q15" s="37">
        <v>0.788</v>
      </c>
      <c r="R15" s="37">
        <v>0.4162</v>
      </c>
      <c r="S15" s="42"/>
      <c r="T15" s="15"/>
      <c r="U15" s="15"/>
      <c r="V15" s="15"/>
      <c r="W15" s="15"/>
      <c r="X15" s="15"/>
    </row>
    <row r="16">
      <c r="A16" s="27" t="s">
        <v>64</v>
      </c>
      <c r="B16" s="29" t="s">
        <v>65</v>
      </c>
      <c r="C16" s="31" t="s">
        <v>42</v>
      </c>
      <c r="D16" s="32">
        <v>158.0</v>
      </c>
      <c r="E16" s="32">
        <v>56.0</v>
      </c>
      <c r="F16" s="34">
        <v>68.0</v>
      </c>
      <c r="G16" s="32">
        <v>34.0</v>
      </c>
      <c r="H16" s="32">
        <v>314.0</v>
      </c>
      <c r="I16" s="32">
        <v>190.0</v>
      </c>
      <c r="J16" s="36">
        <v>0.3544</v>
      </c>
      <c r="K16" s="36">
        <v>0.4304</v>
      </c>
      <c r="L16" s="36">
        <v>0.2152</v>
      </c>
      <c r="M16" s="37">
        <v>0.4333</v>
      </c>
      <c r="N16" s="38">
        <v>0.6051</v>
      </c>
      <c r="O16" s="39">
        <v>2.53</v>
      </c>
      <c r="P16" s="41">
        <v>1.99</v>
      </c>
      <c r="Q16" s="37">
        <v>0.7848</v>
      </c>
      <c r="R16" s="37">
        <v>0.4516</v>
      </c>
      <c r="S16" s="70"/>
      <c r="T16" s="55"/>
      <c r="U16" s="56"/>
      <c r="V16" s="44"/>
      <c r="W16" s="44"/>
      <c r="X16" s="15"/>
    </row>
    <row r="17">
      <c r="A17" s="16" t="s">
        <v>70</v>
      </c>
      <c r="B17" s="57" t="s">
        <v>71</v>
      </c>
      <c r="C17" s="16" t="s">
        <v>31</v>
      </c>
      <c r="D17" s="22">
        <v>27.0</v>
      </c>
      <c r="E17" s="22">
        <v>14.0</v>
      </c>
      <c r="F17" s="22">
        <v>7.0</v>
      </c>
      <c r="G17" s="22">
        <v>6.0</v>
      </c>
      <c r="H17" s="22">
        <v>49.0</v>
      </c>
      <c r="I17" s="22">
        <v>28.0</v>
      </c>
      <c r="J17" s="11">
        <v>0.5185</v>
      </c>
      <c r="K17" s="11">
        <v>0.2593</v>
      </c>
      <c r="L17" s="11">
        <v>0.2222</v>
      </c>
      <c r="M17" s="11">
        <v>0.5714</v>
      </c>
      <c r="N17" s="9" t="s">
        <v>34</v>
      </c>
      <c r="O17" s="23">
        <v>2.33333333333333</v>
      </c>
      <c r="P17" s="23">
        <v>1.81481481481481</v>
      </c>
      <c r="Q17" s="11">
        <v>0.7778</v>
      </c>
      <c r="R17" s="11">
        <v>0.6667</v>
      </c>
      <c r="S17" s="24"/>
      <c r="T17" s="15"/>
      <c r="U17" s="15"/>
      <c r="V17" s="15"/>
      <c r="W17" s="15"/>
      <c r="X17" s="15"/>
    </row>
    <row r="18">
      <c r="A18" s="27" t="s">
        <v>72</v>
      </c>
      <c r="B18" s="57" t="s">
        <v>73</v>
      </c>
      <c r="C18" s="31" t="s">
        <v>31</v>
      </c>
      <c r="D18" s="32">
        <v>76.0</v>
      </c>
      <c r="E18" s="32">
        <v>25.0</v>
      </c>
      <c r="F18" s="32">
        <v>34.0</v>
      </c>
      <c r="G18" s="34">
        <v>17.0</v>
      </c>
      <c r="H18" s="32">
        <v>117.0</v>
      </c>
      <c r="I18" s="32">
        <v>58.0</v>
      </c>
      <c r="J18" s="32">
        <v>0.3289</v>
      </c>
      <c r="K18" s="36">
        <v>0.4474</v>
      </c>
      <c r="L18" s="36">
        <v>0.2237</v>
      </c>
      <c r="M18" s="36">
        <v>0.49570000000000003</v>
      </c>
      <c r="N18" s="32" t="s">
        <v>34</v>
      </c>
      <c r="O18" s="38">
        <v>1.98</v>
      </c>
      <c r="P18" s="39">
        <v>1.54</v>
      </c>
      <c r="Q18" s="41">
        <v>0.7763</v>
      </c>
      <c r="R18" s="37">
        <v>0.42369999999999997</v>
      </c>
      <c r="S18" s="42"/>
      <c r="T18" s="55"/>
      <c r="U18" s="56"/>
      <c r="V18" s="44"/>
      <c r="W18" s="44"/>
      <c r="X18" s="15"/>
    </row>
    <row r="19">
      <c r="A19" s="27" t="s">
        <v>74</v>
      </c>
      <c r="B19" s="57" t="s">
        <v>75</v>
      </c>
      <c r="C19" s="31" t="s">
        <v>33</v>
      </c>
      <c r="D19" s="48">
        <v>42.0</v>
      </c>
      <c r="E19" s="48">
        <v>7.0</v>
      </c>
      <c r="F19" s="51">
        <v>25.0</v>
      </c>
      <c r="G19" s="48">
        <v>10.0</v>
      </c>
      <c r="H19" s="48">
        <v>42.0</v>
      </c>
      <c r="I19" s="48">
        <v>10.0</v>
      </c>
      <c r="J19" s="36">
        <v>0.16670000000000001</v>
      </c>
      <c r="K19" s="36">
        <v>0.5952000000000001</v>
      </c>
      <c r="L19" s="36">
        <v>0.23809999999999998</v>
      </c>
      <c r="M19" s="37">
        <v>0.23809999999999998</v>
      </c>
      <c r="N19" s="54" t="s">
        <v>34</v>
      </c>
      <c r="O19" s="39">
        <v>1.31</v>
      </c>
      <c r="P19" s="41">
        <v>1.0</v>
      </c>
      <c r="Q19" s="37">
        <v>0.7619</v>
      </c>
      <c r="R19" s="37">
        <v>0.2188</v>
      </c>
      <c r="S19" s="42"/>
      <c r="T19" s="55"/>
      <c r="U19" s="56"/>
      <c r="V19" s="44"/>
      <c r="W19" s="44"/>
      <c r="X19" s="15"/>
    </row>
    <row r="20">
      <c r="A20" s="27" t="s">
        <v>76</v>
      </c>
      <c r="B20" s="47"/>
      <c r="C20" s="31" t="s">
        <v>31</v>
      </c>
      <c r="D20" s="48">
        <v>48.0</v>
      </c>
      <c r="E20" s="48">
        <v>16.0</v>
      </c>
      <c r="F20" s="51">
        <v>20.0</v>
      </c>
      <c r="G20" s="48">
        <v>12.0</v>
      </c>
      <c r="H20" s="48">
        <v>80.0</v>
      </c>
      <c r="I20" s="48">
        <v>44.0</v>
      </c>
      <c r="J20" s="36">
        <v>0.3333</v>
      </c>
      <c r="K20" s="36">
        <v>0.4167</v>
      </c>
      <c r="L20" s="36">
        <v>0.25</v>
      </c>
      <c r="M20" s="37">
        <v>0.55</v>
      </c>
      <c r="N20" s="54" t="s">
        <v>34</v>
      </c>
      <c r="O20" s="39">
        <v>2.22</v>
      </c>
      <c r="P20" s="41">
        <v>1.67</v>
      </c>
      <c r="Q20" s="37">
        <v>0.75</v>
      </c>
      <c r="R20" s="37">
        <v>0.44439999999999996</v>
      </c>
      <c r="S20" s="42"/>
      <c r="T20" s="55"/>
      <c r="U20" s="56"/>
      <c r="V20" s="44"/>
      <c r="W20" s="44"/>
      <c r="X20" s="15"/>
    </row>
    <row r="21">
      <c r="A21" s="27" t="s">
        <v>77</v>
      </c>
      <c r="B21" s="57" t="s">
        <v>78</v>
      </c>
      <c r="C21" s="31" t="s">
        <v>42</v>
      </c>
      <c r="D21" s="48">
        <v>83.0</v>
      </c>
      <c r="E21" s="48">
        <v>28.0</v>
      </c>
      <c r="F21" s="51">
        <v>34.0</v>
      </c>
      <c r="G21" s="48">
        <v>21.0</v>
      </c>
      <c r="H21" s="48">
        <v>149.0</v>
      </c>
      <c r="I21" s="48">
        <v>87.0</v>
      </c>
      <c r="J21" s="36">
        <v>0.3373</v>
      </c>
      <c r="K21" s="36">
        <v>0.4096</v>
      </c>
      <c r="L21" s="36">
        <v>0.253</v>
      </c>
      <c r="M21" s="37">
        <v>0.5839</v>
      </c>
      <c r="N21" s="54" t="s">
        <v>34</v>
      </c>
      <c r="O21" s="39">
        <v>2.4</v>
      </c>
      <c r="P21" s="41">
        <v>1.8</v>
      </c>
      <c r="Q21" s="37">
        <v>0.747</v>
      </c>
      <c r="R21" s="37">
        <v>0.4516</v>
      </c>
      <c r="S21" s="42"/>
      <c r="T21" s="55"/>
      <c r="U21" s="56"/>
      <c r="V21" s="44"/>
      <c r="W21" s="44"/>
      <c r="X21" s="15"/>
    </row>
    <row r="22">
      <c r="A22" s="16" t="s">
        <v>79</v>
      </c>
      <c r="B22" s="57" t="s">
        <v>80</v>
      </c>
      <c r="C22" s="16" t="s">
        <v>31</v>
      </c>
      <c r="D22" s="22">
        <v>65.0</v>
      </c>
      <c r="E22" s="22">
        <v>27.0</v>
      </c>
      <c r="F22" s="22">
        <v>21.0</v>
      </c>
      <c r="G22" s="22">
        <v>17.0</v>
      </c>
      <c r="H22" s="22">
        <v>143.0</v>
      </c>
      <c r="I22" s="22">
        <v>95.0</v>
      </c>
      <c r="J22" s="11">
        <v>0.4154</v>
      </c>
      <c r="K22" s="11">
        <v>0.3231</v>
      </c>
      <c r="L22" s="11">
        <v>0.2615</v>
      </c>
      <c r="M22" s="11">
        <v>0.6643</v>
      </c>
      <c r="N22" s="9" t="s">
        <v>34</v>
      </c>
      <c r="O22" s="23">
        <v>2.97916666666666</v>
      </c>
      <c r="P22" s="23">
        <v>2.2</v>
      </c>
      <c r="Q22" s="11">
        <v>0.7385</v>
      </c>
      <c r="R22" s="11">
        <v>0.5625</v>
      </c>
      <c r="S22" s="24"/>
      <c r="T22" s="15"/>
      <c r="U22" s="15"/>
      <c r="V22" s="15"/>
      <c r="W22" s="15"/>
      <c r="X22" s="15"/>
    </row>
    <row r="23">
      <c r="A23" s="27" t="s">
        <v>81</v>
      </c>
      <c r="B23" s="47"/>
      <c r="C23" s="31" t="s">
        <v>31</v>
      </c>
      <c r="D23" s="48">
        <v>19.0</v>
      </c>
      <c r="E23" s="48">
        <v>4.0</v>
      </c>
      <c r="F23" s="51">
        <v>10.0</v>
      </c>
      <c r="G23" s="48">
        <v>5.0</v>
      </c>
      <c r="H23" s="48">
        <v>22.0</v>
      </c>
      <c r="I23" s="48">
        <v>8.0</v>
      </c>
      <c r="J23" s="36">
        <v>0.2105</v>
      </c>
      <c r="K23" s="36">
        <v>0.5263</v>
      </c>
      <c r="L23" s="36">
        <v>0.2632</v>
      </c>
      <c r="M23" s="37">
        <v>0.3636</v>
      </c>
      <c r="N23" s="54" t="s">
        <v>34</v>
      </c>
      <c r="O23" s="39">
        <v>1.57142857142857</v>
      </c>
      <c r="P23" s="41">
        <v>1.1578947368421</v>
      </c>
      <c r="Q23" s="37">
        <v>0.7368</v>
      </c>
      <c r="R23" s="37">
        <v>0.2857</v>
      </c>
      <c r="S23" s="42"/>
      <c r="T23" s="55"/>
      <c r="U23" s="56"/>
      <c r="V23" s="44"/>
      <c r="W23" s="44"/>
      <c r="X23" s="15"/>
    </row>
    <row r="24">
      <c r="A24" s="16" t="s">
        <v>82</v>
      </c>
      <c r="B24" s="57" t="s">
        <v>83</v>
      </c>
      <c r="C24" s="16" t="s">
        <v>26</v>
      </c>
      <c r="D24" s="22">
        <v>627.0</v>
      </c>
      <c r="E24" s="22">
        <v>169.0</v>
      </c>
      <c r="F24" s="22">
        <v>290.0</v>
      </c>
      <c r="G24" s="22">
        <v>168.0</v>
      </c>
      <c r="H24" s="22">
        <v>982.0</v>
      </c>
      <c r="I24" s="22">
        <v>523.0</v>
      </c>
      <c r="J24" s="11">
        <v>0.2695</v>
      </c>
      <c r="K24" s="11">
        <v>0.4625</v>
      </c>
      <c r="L24" s="11">
        <v>0.2679</v>
      </c>
      <c r="M24" s="11">
        <v>0.5326</v>
      </c>
      <c r="N24" s="9" t="s">
        <v>34</v>
      </c>
      <c r="O24" s="23">
        <v>2.13943355119825</v>
      </c>
      <c r="P24" s="23">
        <v>1.56618819776714</v>
      </c>
      <c r="Q24" s="11">
        <v>0.7321</v>
      </c>
      <c r="R24" s="11">
        <v>0.3682</v>
      </c>
      <c r="S24" s="24"/>
      <c r="T24" s="15"/>
      <c r="U24" s="15"/>
      <c r="V24" s="15"/>
      <c r="W24" s="15"/>
      <c r="X24" s="15"/>
    </row>
    <row r="25">
      <c r="A25" s="27" t="s">
        <v>84</v>
      </c>
      <c r="B25" s="57" t="s">
        <v>85</v>
      </c>
      <c r="C25" s="31" t="s">
        <v>26</v>
      </c>
      <c r="D25" s="48">
        <v>228.0</v>
      </c>
      <c r="E25" s="48">
        <v>61.0</v>
      </c>
      <c r="F25" s="51">
        <v>105.0</v>
      </c>
      <c r="G25" s="48">
        <v>62.0</v>
      </c>
      <c r="H25" s="48">
        <v>412.0</v>
      </c>
      <c r="I25" s="48">
        <v>246.0</v>
      </c>
      <c r="J25" s="36">
        <v>0.2675</v>
      </c>
      <c r="K25" s="36">
        <v>0.46049999999999996</v>
      </c>
      <c r="L25" s="36">
        <v>0.27190000000000003</v>
      </c>
      <c r="M25" s="37">
        <v>0.5971</v>
      </c>
      <c r="N25" s="54" t="s">
        <v>34</v>
      </c>
      <c r="O25" s="39">
        <v>2.48</v>
      </c>
      <c r="P25" s="41">
        <v>1.81</v>
      </c>
      <c r="Q25" s="37">
        <v>0.7281</v>
      </c>
      <c r="R25" s="37">
        <v>0.3675</v>
      </c>
      <c r="S25" s="42"/>
      <c r="T25" s="55"/>
      <c r="U25" s="56"/>
      <c r="V25" s="44"/>
      <c r="W25" s="44"/>
      <c r="X25" s="15"/>
    </row>
    <row r="26">
      <c r="A26" s="16" t="s">
        <v>86</v>
      </c>
      <c r="B26" s="29" t="s">
        <v>87</v>
      </c>
      <c r="C26" s="16" t="s">
        <v>31</v>
      </c>
      <c r="D26" s="9">
        <v>47.0</v>
      </c>
      <c r="E26" s="9">
        <v>8.0</v>
      </c>
      <c r="F26" s="9">
        <v>26.0</v>
      </c>
      <c r="G26" s="9">
        <v>13.0</v>
      </c>
      <c r="H26" s="9">
        <v>79.0</v>
      </c>
      <c r="I26" s="9">
        <v>45.0</v>
      </c>
      <c r="J26" s="11">
        <v>0.1702</v>
      </c>
      <c r="K26" s="11">
        <v>0.5532</v>
      </c>
      <c r="L26" s="11">
        <v>0.2766</v>
      </c>
      <c r="M26" s="11">
        <v>0.653</v>
      </c>
      <c r="N26" s="59">
        <v>0.5696</v>
      </c>
      <c r="O26" s="23">
        <v>2.32</v>
      </c>
      <c r="P26" s="23">
        <v>1.68</v>
      </c>
      <c r="Q26" s="11">
        <v>0.7234</v>
      </c>
      <c r="R26" s="11">
        <v>0.2353</v>
      </c>
      <c r="S26" s="24"/>
      <c r="T26" s="15"/>
      <c r="U26" s="15"/>
      <c r="V26" s="15"/>
      <c r="W26" s="15"/>
      <c r="X26" s="15"/>
    </row>
    <row r="27">
      <c r="A27" s="16" t="s">
        <v>88</v>
      </c>
      <c r="B27" s="57" t="s">
        <v>89</v>
      </c>
      <c r="C27" s="16" t="s">
        <v>31</v>
      </c>
      <c r="D27" s="22">
        <v>31.0</v>
      </c>
      <c r="E27" s="22">
        <v>12.0</v>
      </c>
      <c r="F27" s="22">
        <v>10.0</v>
      </c>
      <c r="G27" s="22">
        <v>9.0</v>
      </c>
      <c r="H27" s="22">
        <v>46.0</v>
      </c>
      <c r="I27" s="22">
        <v>24.0</v>
      </c>
      <c r="J27" s="11">
        <v>0.3871</v>
      </c>
      <c r="K27" s="11">
        <v>0.3226</v>
      </c>
      <c r="L27" s="11">
        <v>0.2903</v>
      </c>
      <c r="M27" s="11">
        <v>0.5217</v>
      </c>
      <c r="N27" s="9" t="s">
        <v>34</v>
      </c>
      <c r="O27" s="23">
        <v>2.09090909090909</v>
      </c>
      <c r="P27" s="23">
        <v>1.48387096774193</v>
      </c>
      <c r="Q27" s="11">
        <v>0.7097</v>
      </c>
      <c r="R27" s="11">
        <v>0.5455</v>
      </c>
      <c r="S27" s="24"/>
      <c r="T27" s="15"/>
      <c r="U27" s="15"/>
      <c r="V27" s="15"/>
      <c r="W27" s="15"/>
      <c r="X27" s="15"/>
    </row>
    <row r="28">
      <c r="A28" s="27" t="s">
        <v>90</v>
      </c>
      <c r="B28" s="29" t="s">
        <v>91</v>
      </c>
      <c r="C28" s="31" t="s">
        <v>42</v>
      </c>
      <c r="D28" s="32">
        <v>215.0</v>
      </c>
      <c r="E28" s="32">
        <v>68.0</v>
      </c>
      <c r="F28" s="34">
        <v>79.0</v>
      </c>
      <c r="G28" s="32">
        <v>68.0</v>
      </c>
      <c r="H28" s="32">
        <v>378.0</v>
      </c>
      <c r="I28" s="32">
        <v>231.0</v>
      </c>
      <c r="J28" s="36">
        <v>0.3163</v>
      </c>
      <c r="K28" s="36">
        <v>0.3674</v>
      </c>
      <c r="L28" s="36">
        <v>0.3163</v>
      </c>
      <c r="M28" s="37">
        <v>0.5957</v>
      </c>
      <c r="N28" s="38">
        <v>0.6111</v>
      </c>
      <c r="O28" s="39">
        <v>2.57</v>
      </c>
      <c r="P28" s="41">
        <v>1.76</v>
      </c>
      <c r="Q28" s="37">
        <v>0.6837</v>
      </c>
      <c r="R28" s="37">
        <v>0.4626</v>
      </c>
      <c r="S28" s="42"/>
      <c r="T28" s="55"/>
      <c r="U28" s="56"/>
      <c r="V28" s="44"/>
      <c r="W28" s="44"/>
      <c r="X28" s="15"/>
    </row>
    <row r="29">
      <c r="A29" s="27" t="s">
        <v>92</v>
      </c>
      <c r="B29" s="57" t="s">
        <v>93</v>
      </c>
      <c r="C29" s="31" t="s">
        <v>31</v>
      </c>
      <c r="D29" s="48">
        <v>84.0</v>
      </c>
      <c r="E29" s="48">
        <v>24.0</v>
      </c>
      <c r="F29" s="51">
        <v>33.0</v>
      </c>
      <c r="G29" s="48">
        <v>27.0</v>
      </c>
      <c r="H29" s="48">
        <v>119.0</v>
      </c>
      <c r="I29" s="48">
        <v>62.0</v>
      </c>
      <c r="J29" s="36">
        <v>0.2857</v>
      </c>
      <c r="K29" s="36">
        <v>0.3929</v>
      </c>
      <c r="L29" s="36">
        <v>0.3214</v>
      </c>
      <c r="M29" s="37">
        <v>0.521</v>
      </c>
      <c r="N29" s="54" t="s">
        <v>34</v>
      </c>
      <c r="O29" s="39">
        <v>2.08771929824561</v>
      </c>
      <c r="P29" s="41">
        <v>1.41666666666666</v>
      </c>
      <c r="Q29" s="37">
        <v>0.6786</v>
      </c>
      <c r="R29" s="37">
        <v>0.4211</v>
      </c>
      <c r="S29" s="42"/>
      <c r="T29" s="55"/>
      <c r="U29" s="56"/>
      <c r="V29" s="44"/>
      <c r="W29" s="44"/>
      <c r="X29" s="15"/>
    </row>
    <row r="30">
      <c r="A30" s="27" t="s">
        <v>94</v>
      </c>
      <c r="B30" s="29" t="s">
        <v>95</v>
      </c>
      <c r="C30" s="31" t="s">
        <v>42</v>
      </c>
      <c r="D30" s="32">
        <v>58.0</v>
      </c>
      <c r="E30" s="32">
        <v>21.0</v>
      </c>
      <c r="F30" s="34">
        <v>18.0</v>
      </c>
      <c r="G30" s="32">
        <v>19.0</v>
      </c>
      <c r="H30" s="32">
        <v>109.0</v>
      </c>
      <c r="I30" s="32">
        <v>70.0</v>
      </c>
      <c r="J30" s="36">
        <v>0.3621</v>
      </c>
      <c r="K30" s="36">
        <v>0.3103</v>
      </c>
      <c r="L30" s="36">
        <v>0.3276</v>
      </c>
      <c r="M30" s="37">
        <v>0.5604</v>
      </c>
      <c r="N30" s="38">
        <v>0.6422</v>
      </c>
      <c r="O30" s="39">
        <v>2.79</v>
      </c>
      <c r="P30" s="41">
        <v>1.88</v>
      </c>
      <c r="Q30" s="37">
        <v>0.6724</v>
      </c>
      <c r="R30" s="37">
        <v>0.5385</v>
      </c>
      <c r="S30" s="42"/>
      <c r="T30" s="55"/>
      <c r="U30" s="56"/>
      <c r="V30" s="44"/>
      <c r="W30" s="44"/>
      <c r="X30" s="15"/>
    </row>
    <row r="31">
      <c r="A31" s="27" t="s">
        <v>96</v>
      </c>
      <c r="B31" s="57" t="s">
        <v>97</v>
      </c>
      <c r="C31" s="31" t="s">
        <v>98</v>
      </c>
      <c r="D31" s="48">
        <v>21.0</v>
      </c>
      <c r="E31" s="48">
        <v>2.0</v>
      </c>
      <c r="F31" s="51">
        <v>12.0</v>
      </c>
      <c r="G31" s="48">
        <v>7.0</v>
      </c>
      <c r="H31" s="48">
        <v>16.0</v>
      </c>
      <c r="I31" s="48">
        <v>2.0</v>
      </c>
      <c r="J31" s="36">
        <v>0.0952</v>
      </c>
      <c r="K31" s="36">
        <v>0.5714</v>
      </c>
      <c r="L31" s="36">
        <v>0.3333</v>
      </c>
      <c r="M31" s="37">
        <v>0.125</v>
      </c>
      <c r="N31" s="54" t="s">
        <v>34</v>
      </c>
      <c r="O31" s="39">
        <v>1.14285714285714</v>
      </c>
      <c r="P31" s="41">
        <v>0.761904761904761</v>
      </c>
      <c r="Q31" s="37">
        <v>0.6667</v>
      </c>
      <c r="R31" s="37">
        <v>0.1429</v>
      </c>
      <c r="S31" s="42"/>
      <c r="T31" s="55"/>
      <c r="U31" s="56"/>
      <c r="V31" s="44"/>
      <c r="W31" s="44"/>
      <c r="X31" s="15"/>
    </row>
    <row r="32">
      <c r="A32" s="27" t="s">
        <v>99</v>
      </c>
      <c r="B32" s="47"/>
      <c r="C32" s="31" t="s">
        <v>33</v>
      </c>
      <c r="D32" s="48">
        <v>82.0</v>
      </c>
      <c r="E32" s="48">
        <v>29.0</v>
      </c>
      <c r="F32" s="51">
        <v>25.0</v>
      </c>
      <c r="G32" s="48">
        <v>28.0</v>
      </c>
      <c r="H32" s="48">
        <v>175.0</v>
      </c>
      <c r="I32" s="48">
        <v>121.0</v>
      </c>
      <c r="J32" s="36">
        <v>0.35369999999999996</v>
      </c>
      <c r="K32" s="36">
        <v>0.3049</v>
      </c>
      <c r="L32" s="36">
        <v>0.34149999999999997</v>
      </c>
      <c r="M32" s="37">
        <v>0.6914</v>
      </c>
      <c r="N32" s="54" t="s">
        <v>34</v>
      </c>
      <c r="O32" s="39">
        <v>3.24</v>
      </c>
      <c r="P32" s="41">
        <v>2.13</v>
      </c>
      <c r="Q32" s="37">
        <v>0.6585</v>
      </c>
      <c r="R32" s="37">
        <v>0.537</v>
      </c>
      <c r="S32" s="42"/>
      <c r="T32" s="55"/>
      <c r="U32" s="56"/>
      <c r="V32" s="44"/>
      <c r="W32" s="44"/>
      <c r="X32" s="15"/>
    </row>
    <row r="33">
      <c r="A33" s="16" t="s">
        <v>100</v>
      </c>
      <c r="B33" s="57" t="s">
        <v>101</v>
      </c>
      <c r="C33" s="16" t="s">
        <v>26</v>
      </c>
      <c r="D33" s="22">
        <v>176.0</v>
      </c>
      <c r="E33" s="22">
        <v>20.0</v>
      </c>
      <c r="F33" s="22">
        <v>93.0</v>
      </c>
      <c r="G33" s="22">
        <v>63.0</v>
      </c>
      <c r="H33" s="22">
        <v>237.0</v>
      </c>
      <c r="I33" s="22">
        <v>124.0</v>
      </c>
      <c r="J33" s="11">
        <v>0.1136</v>
      </c>
      <c r="K33" s="11">
        <v>0.5284</v>
      </c>
      <c r="L33" s="11">
        <v>0.358</v>
      </c>
      <c r="M33" s="11">
        <v>0.5232</v>
      </c>
      <c r="N33" s="9" t="s">
        <v>34</v>
      </c>
      <c r="O33" s="23">
        <v>2.09734513274336</v>
      </c>
      <c r="P33" s="23">
        <v>1.3465909090909</v>
      </c>
      <c r="Q33" s="11">
        <v>0.642</v>
      </c>
      <c r="R33" s="11">
        <v>0.177</v>
      </c>
      <c r="S33" s="24"/>
      <c r="T33" s="15"/>
      <c r="U33" s="15"/>
      <c r="V33" s="15"/>
      <c r="W33" s="15"/>
      <c r="X33" s="15"/>
    </row>
    <row r="34">
      <c r="A34" s="27" t="s">
        <v>102</v>
      </c>
      <c r="B34" s="57" t="s">
        <v>103</v>
      </c>
      <c r="C34" s="31" t="s">
        <v>26</v>
      </c>
      <c r="D34" s="48">
        <v>94.0</v>
      </c>
      <c r="E34" s="48">
        <v>26.0</v>
      </c>
      <c r="F34" s="51">
        <v>34.0</v>
      </c>
      <c r="G34" s="48">
        <v>34.0</v>
      </c>
      <c r="H34" s="48">
        <v>173.0</v>
      </c>
      <c r="I34" s="48">
        <v>113.0</v>
      </c>
      <c r="J34" s="36">
        <v>0.2766</v>
      </c>
      <c r="K34" s="36">
        <v>0.3617</v>
      </c>
      <c r="L34" s="36">
        <v>0.3617</v>
      </c>
      <c r="M34" s="37">
        <v>0.6531999999999999</v>
      </c>
      <c r="N34" s="54" t="s">
        <v>34</v>
      </c>
      <c r="O34" s="39">
        <v>2.88</v>
      </c>
      <c r="P34" s="41">
        <v>1.84</v>
      </c>
      <c r="Q34" s="37">
        <v>0.6383</v>
      </c>
      <c r="R34" s="37">
        <v>0.43329999999999996</v>
      </c>
      <c r="S34" s="42"/>
      <c r="T34" s="55"/>
      <c r="U34" s="56"/>
      <c r="V34" s="44"/>
      <c r="W34" s="44"/>
      <c r="X34" s="15"/>
    </row>
    <row r="35">
      <c r="A35" s="65" t="s">
        <v>104</v>
      </c>
      <c r="B35" s="57" t="s">
        <v>105</v>
      </c>
      <c r="C35" s="66" t="s">
        <v>42</v>
      </c>
      <c r="D35" s="72">
        <v>117.0</v>
      </c>
      <c r="E35" s="72">
        <v>19.0</v>
      </c>
      <c r="F35" s="73">
        <v>55.0</v>
      </c>
      <c r="G35" s="72">
        <v>43.0</v>
      </c>
      <c r="H35" s="72">
        <v>196.0</v>
      </c>
      <c r="I35" s="72">
        <v>122.0</v>
      </c>
      <c r="J35" s="74">
        <v>0.1624</v>
      </c>
      <c r="K35" s="74">
        <v>0.47009999999999996</v>
      </c>
      <c r="L35" s="74">
        <v>0.3675</v>
      </c>
      <c r="M35" s="75">
        <v>0.6224000000000001</v>
      </c>
      <c r="N35" s="76" t="s">
        <v>34</v>
      </c>
      <c r="O35" s="77">
        <v>2.65</v>
      </c>
      <c r="P35" s="78">
        <v>1.68</v>
      </c>
      <c r="Q35" s="75">
        <v>0.6325</v>
      </c>
      <c r="R35" s="75">
        <v>0.2568</v>
      </c>
      <c r="S35" s="42"/>
      <c r="T35" s="55"/>
      <c r="U35" s="56"/>
      <c r="V35" s="44"/>
      <c r="W35" s="44"/>
      <c r="X35" s="15"/>
    </row>
    <row r="36">
      <c r="A36" s="27" t="s">
        <v>106</v>
      </c>
      <c r="B36" s="47"/>
      <c r="C36" s="31" t="s">
        <v>33</v>
      </c>
      <c r="D36" s="48">
        <v>76.0</v>
      </c>
      <c r="E36" s="48">
        <v>20.0</v>
      </c>
      <c r="F36" s="51">
        <v>28.0</v>
      </c>
      <c r="G36" s="48">
        <v>28.0</v>
      </c>
      <c r="H36" s="48">
        <v>97.0</v>
      </c>
      <c r="I36" s="48">
        <v>49.0</v>
      </c>
      <c r="J36" s="36">
        <v>0.2632</v>
      </c>
      <c r="K36" s="36">
        <v>0.3684</v>
      </c>
      <c r="L36" s="36">
        <v>0.3684</v>
      </c>
      <c r="M36" s="37">
        <v>0.5052</v>
      </c>
      <c r="N36" s="54" t="s">
        <v>34</v>
      </c>
      <c r="O36" s="39">
        <v>2.02083333333333</v>
      </c>
      <c r="P36" s="41">
        <v>1.27631578947368</v>
      </c>
      <c r="Q36" s="37">
        <v>0.6316</v>
      </c>
      <c r="R36" s="37">
        <v>0.4167</v>
      </c>
      <c r="S36" s="42"/>
      <c r="T36" s="55"/>
      <c r="U36" s="56"/>
      <c r="V36" s="44"/>
      <c r="W36" s="44"/>
      <c r="X36" s="15"/>
    </row>
    <row r="37">
      <c r="A37" s="27" t="s">
        <v>107</v>
      </c>
      <c r="B37" s="47"/>
      <c r="C37" s="31" t="s">
        <v>33</v>
      </c>
      <c r="D37" s="48">
        <v>143.0</v>
      </c>
      <c r="E37" s="48">
        <v>25.0</v>
      </c>
      <c r="F37" s="51">
        <v>63.0</v>
      </c>
      <c r="G37" s="48">
        <v>55.0</v>
      </c>
      <c r="H37" s="48">
        <v>212.0</v>
      </c>
      <c r="I37" s="48">
        <v>124.0</v>
      </c>
      <c r="J37" s="36">
        <v>0.1748</v>
      </c>
      <c r="K37" s="36">
        <v>0.4406</v>
      </c>
      <c r="L37" s="36">
        <v>0.3846</v>
      </c>
      <c r="M37" s="37">
        <v>0.5849</v>
      </c>
      <c r="N37" s="54" t="s">
        <v>34</v>
      </c>
      <c r="O37" s="39">
        <v>2.4090909090909</v>
      </c>
      <c r="P37" s="41">
        <v>1.48251748251748</v>
      </c>
      <c r="Q37" s="37">
        <v>0.6154</v>
      </c>
      <c r="R37" s="37">
        <v>0.2841</v>
      </c>
      <c r="S37" s="42"/>
      <c r="T37" s="55"/>
      <c r="U37" s="56"/>
      <c r="V37" s="44"/>
      <c r="W37" s="44"/>
      <c r="X37" s="15"/>
    </row>
    <row r="38">
      <c r="A38" s="16" t="s">
        <v>108</v>
      </c>
      <c r="B38" s="47" t="s">
        <v>109</v>
      </c>
      <c r="C38" s="16" t="s">
        <v>26</v>
      </c>
      <c r="D38" s="22">
        <v>43.0</v>
      </c>
      <c r="E38" s="22">
        <v>12.0</v>
      </c>
      <c r="F38" s="22">
        <v>14.0</v>
      </c>
      <c r="G38" s="22">
        <v>17.0</v>
      </c>
      <c r="H38" s="22">
        <v>50.0</v>
      </c>
      <c r="I38" s="22">
        <v>24.0</v>
      </c>
      <c r="J38" s="11">
        <v>0.2791</v>
      </c>
      <c r="K38" s="11">
        <v>0.3256</v>
      </c>
      <c r="L38" s="11">
        <v>0.3953</v>
      </c>
      <c r="M38" s="11">
        <v>0.48</v>
      </c>
      <c r="N38" s="9"/>
      <c r="O38" s="23">
        <v>1.92307692307692</v>
      </c>
      <c r="P38" s="23">
        <v>1.16279069767441</v>
      </c>
      <c r="Q38" s="11">
        <v>0.6047</v>
      </c>
      <c r="R38" s="11">
        <v>0.4615</v>
      </c>
      <c r="S38" s="24"/>
      <c r="T38" s="15"/>
      <c r="U38" s="15"/>
      <c r="V38" s="15"/>
      <c r="W38" s="15"/>
      <c r="X38" s="15"/>
    </row>
    <row r="39">
      <c r="A39" s="27" t="s">
        <v>110</v>
      </c>
      <c r="B39" s="57" t="s">
        <v>111</v>
      </c>
      <c r="C39" s="31" t="s">
        <v>46</v>
      </c>
      <c r="D39" s="48">
        <v>103.0</v>
      </c>
      <c r="E39" s="48">
        <v>21.0</v>
      </c>
      <c r="F39" s="51">
        <v>41.0</v>
      </c>
      <c r="G39" s="48">
        <v>41.0</v>
      </c>
      <c r="H39" s="48">
        <v>117.0</v>
      </c>
      <c r="I39" s="48">
        <v>55.0</v>
      </c>
      <c r="J39" s="36">
        <v>0.2039</v>
      </c>
      <c r="K39" s="36">
        <v>0.3981</v>
      </c>
      <c r="L39" s="36">
        <v>0.3981</v>
      </c>
      <c r="M39" s="37">
        <v>0.4701</v>
      </c>
      <c r="N39" s="54" t="s">
        <v>34</v>
      </c>
      <c r="O39" s="39">
        <v>1.88709677419354</v>
      </c>
      <c r="P39" s="41">
        <v>1.13592233009708</v>
      </c>
      <c r="Q39" s="37">
        <v>0.6019</v>
      </c>
      <c r="R39" s="37">
        <v>0.3387</v>
      </c>
      <c r="S39" s="42"/>
      <c r="T39" s="55"/>
      <c r="U39" s="56"/>
      <c r="V39" s="44"/>
      <c r="W39" s="44"/>
      <c r="X39" s="15"/>
    </row>
    <row r="40">
      <c r="A40" s="27" t="s">
        <v>112</v>
      </c>
      <c r="B40" s="47"/>
      <c r="C40" s="31" t="s">
        <v>113</v>
      </c>
      <c r="D40" s="48">
        <v>127.0</v>
      </c>
      <c r="E40" s="48">
        <v>27.0</v>
      </c>
      <c r="F40" s="51">
        <v>49.0</v>
      </c>
      <c r="G40" s="48">
        <v>51.0</v>
      </c>
      <c r="H40" s="48">
        <v>195.0</v>
      </c>
      <c r="I40" s="48">
        <v>119.0</v>
      </c>
      <c r="J40" s="36">
        <v>0.2126</v>
      </c>
      <c r="K40" s="36">
        <v>0.3858</v>
      </c>
      <c r="L40" s="36">
        <v>0.4016</v>
      </c>
      <c r="M40" s="37">
        <v>0.6103</v>
      </c>
      <c r="N40" s="54" t="s">
        <v>34</v>
      </c>
      <c r="O40" s="39">
        <v>2.56578947368421</v>
      </c>
      <c r="P40" s="41">
        <v>1.53543307086614</v>
      </c>
      <c r="Q40" s="37">
        <v>0.5984</v>
      </c>
      <c r="R40" s="37">
        <v>0.3553</v>
      </c>
      <c r="S40" s="42"/>
      <c r="T40" s="55"/>
      <c r="U40" s="55"/>
      <c r="V40" s="79"/>
      <c r="W40" s="79"/>
      <c r="X40" s="79"/>
    </row>
    <row r="41">
      <c r="A41" s="16" t="s">
        <v>114</v>
      </c>
      <c r="B41" s="47" t="s">
        <v>115</v>
      </c>
      <c r="C41" s="16" t="s">
        <v>26</v>
      </c>
      <c r="D41" s="22">
        <v>332.0</v>
      </c>
      <c r="E41" s="22">
        <v>60.0</v>
      </c>
      <c r="F41" s="22">
        <v>136.0</v>
      </c>
      <c r="G41" s="22">
        <v>136.0</v>
      </c>
      <c r="H41" s="22">
        <v>755.0</v>
      </c>
      <c r="I41" s="22">
        <v>559.0</v>
      </c>
      <c r="J41" s="11">
        <v>0.1807</v>
      </c>
      <c r="K41" s="11">
        <v>0.4096</v>
      </c>
      <c r="L41" s="11">
        <v>0.4096</v>
      </c>
      <c r="M41" s="11">
        <v>0.7404</v>
      </c>
      <c r="N41" s="9" t="s">
        <v>34</v>
      </c>
      <c r="O41" s="23">
        <v>3.85204081632653</v>
      </c>
      <c r="P41" s="23">
        <v>2.27409638554216</v>
      </c>
      <c r="Q41" s="11">
        <v>0.5904</v>
      </c>
      <c r="R41" s="11">
        <v>0.3061</v>
      </c>
      <c r="S41" s="24"/>
      <c r="T41" s="15"/>
      <c r="U41" s="15"/>
      <c r="V41" s="15"/>
      <c r="W41" s="15"/>
      <c r="X41" s="15"/>
    </row>
    <row r="42">
      <c r="A42" s="27" t="s">
        <v>116</v>
      </c>
      <c r="B42" s="47" t="s">
        <v>117</v>
      </c>
      <c r="C42" s="66" t="s">
        <v>26</v>
      </c>
      <c r="D42" s="32">
        <v>52.0</v>
      </c>
      <c r="E42" s="32">
        <v>5.0</v>
      </c>
      <c r="F42" s="32">
        <v>25.0</v>
      </c>
      <c r="G42" s="34">
        <v>22.0</v>
      </c>
      <c r="H42" s="32">
        <v>64.0</v>
      </c>
      <c r="I42" s="32">
        <v>34.0</v>
      </c>
      <c r="J42" s="37">
        <v>0.0962</v>
      </c>
      <c r="K42" s="36">
        <v>0.4808</v>
      </c>
      <c r="L42" s="36">
        <v>0.4231</v>
      </c>
      <c r="M42" s="36">
        <v>0.5313</v>
      </c>
      <c r="N42" s="37">
        <v>0.5313</v>
      </c>
      <c r="O42" s="54">
        <v>2.13</v>
      </c>
      <c r="P42" s="39">
        <v>1.23</v>
      </c>
      <c r="Q42" s="36">
        <v>0.5769</v>
      </c>
      <c r="R42" s="37">
        <v>0.1667</v>
      </c>
      <c r="S42" s="70"/>
      <c r="T42" s="55"/>
      <c r="U42" s="55"/>
      <c r="V42" s="44"/>
      <c r="W42" s="44"/>
      <c r="X42" s="15"/>
    </row>
    <row r="43">
      <c r="A43" s="27" t="s">
        <v>119</v>
      </c>
      <c r="B43" s="57" t="s">
        <v>120</v>
      </c>
      <c r="C43" s="31" t="s">
        <v>31</v>
      </c>
      <c r="D43" s="48">
        <v>92.0</v>
      </c>
      <c r="E43" s="48">
        <v>16.0</v>
      </c>
      <c r="F43" s="51">
        <v>37.0</v>
      </c>
      <c r="G43" s="48">
        <v>39.0</v>
      </c>
      <c r="H43" s="48">
        <v>126.0</v>
      </c>
      <c r="I43" s="48">
        <v>73.0</v>
      </c>
      <c r="J43" s="36">
        <v>0.1739</v>
      </c>
      <c r="K43" s="36">
        <v>0.4022</v>
      </c>
      <c r="L43" s="36">
        <v>0.4239</v>
      </c>
      <c r="M43" s="37">
        <v>0.5794</v>
      </c>
      <c r="N43" s="54" t="s">
        <v>34</v>
      </c>
      <c r="O43" s="39">
        <v>2.38</v>
      </c>
      <c r="P43" s="41">
        <v>1.37</v>
      </c>
      <c r="Q43" s="37">
        <v>0.5761</v>
      </c>
      <c r="R43" s="37">
        <v>0.3019</v>
      </c>
      <c r="S43" s="42"/>
      <c r="T43" s="43"/>
      <c r="U43" s="56"/>
      <c r="V43" s="44"/>
      <c r="W43" s="44"/>
      <c r="X43" s="15"/>
    </row>
    <row r="44">
      <c r="A44" s="16" t="s">
        <v>126</v>
      </c>
      <c r="B44" s="57" t="s">
        <v>127</v>
      </c>
      <c r="C44" s="16" t="s">
        <v>26</v>
      </c>
      <c r="D44" s="22">
        <v>37.0</v>
      </c>
      <c r="E44" s="22">
        <v>2.0</v>
      </c>
      <c r="F44" s="22">
        <v>19.0</v>
      </c>
      <c r="G44" s="22">
        <v>16.0</v>
      </c>
      <c r="H44" s="22">
        <v>23.0</v>
      </c>
      <c r="I44" s="22">
        <v>2.0</v>
      </c>
      <c r="J44" s="11">
        <v>0.0541</v>
      </c>
      <c r="K44" s="11">
        <v>0.5135</v>
      </c>
      <c r="L44" s="11">
        <v>0.4324</v>
      </c>
      <c r="M44" s="11">
        <v>0.087</v>
      </c>
      <c r="N44" s="9" t="s">
        <v>34</v>
      </c>
      <c r="O44" s="23">
        <v>1.09523809523809</v>
      </c>
      <c r="P44" s="23">
        <v>0.621621621621621</v>
      </c>
      <c r="Q44" s="11">
        <v>0.5676</v>
      </c>
      <c r="R44" s="11">
        <v>0.0952</v>
      </c>
      <c r="S44" s="24"/>
      <c r="T44" s="15"/>
      <c r="U44" s="15"/>
      <c r="V44" s="15"/>
      <c r="W44" s="15"/>
      <c r="X44" s="15"/>
    </row>
    <row r="45">
      <c r="A45" s="27" t="s">
        <v>131</v>
      </c>
      <c r="B45" s="57" t="s">
        <v>132</v>
      </c>
      <c r="C45" s="31" t="s">
        <v>98</v>
      </c>
      <c r="D45" s="48">
        <v>32.0</v>
      </c>
      <c r="E45" s="48">
        <v>5.0</v>
      </c>
      <c r="F45" s="51">
        <v>13.0</v>
      </c>
      <c r="G45" s="48">
        <v>14.0</v>
      </c>
      <c r="H45" s="48">
        <v>41.0</v>
      </c>
      <c r="I45" s="48">
        <v>23.0</v>
      </c>
      <c r="J45" s="36">
        <v>0.1563</v>
      </c>
      <c r="K45" s="36">
        <v>0.4063</v>
      </c>
      <c r="L45" s="36">
        <v>0.4375</v>
      </c>
      <c r="M45" s="37">
        <v>0.561</v>
      </c>
      <c r="N45" s="54" t="s">
        <v>34</v>
      </c>
      <c r="O45" s="39">
        <v>2.27777777777777</v>
      </c>
      <c r="P45" s="41">
        <v>1.28125</v>
      </c>
      <c r="Q45" s="37">
        <v>0.5625</v>
      </c>
      <c r="R45" s="37">
        <v>0.2778</v>
      </c>
      <c r="S45" s="42"/>
      <c r="T45" s="55"/>
      <c r="U45" s="56"/>
      <c r="V45" s="44"/>
      <c r="W45" s="44"/>
      <c r="X45" s="15"/>
    </row>
    <row r="46">
      <c r="A46" s="16" t="s">
        <v>138</v>
      </c>
      <c r="B46" s="57" t="s">
        <v>139</v>
      </c>
      <c r="C46" s="16" t="s">
        <v>31</v>
      </c>
      <c r="D46" s="22">
        <v>72.0</v>
      </c>
      <c r="E46" s="22">
        <v>8.0</v>
      </c>
      <c r="F46" s="22">
        <v>32.0</v>
      </c>
      <c r="G46" s="22">
        <v>32.0</v>
      </c>
      <c r="H46" s="22">
        <v>49.0</v>
      </c>
      <c r="I46" s="22">
        <v>9.0</v>
      </c>
      <c r="J46" s="11">
        <v>0.1111</v>
      </c>
      <c r="K46" s="11">
        <v>0.4444</v>
      </c>
      <c r="L46" s="11">
        <v>0.4444</v>
      </c>
      <c r="M46" s="11">
        <v>0.1837</v>
      </c>
      <c r="N46" s="9" t="s">
        <v>34</v>
      </c>
      <c r="O46" s="23">
        <v>1.225</v>
      </c>
      <c r="P46" s="23">
        <v>0.680555555555555</v>
      </c>
      <c r="Q46" s="11">
        <v>0.5556</v>
      </c>
      <c r="R46" s="11">
        <v>0.2</v>
      </c>
      <c r="S46" s="24"/>
      <c r="T46" s="15"/>
      <c r="U46" s="15"/>
      <c r="V46" s="15"/>
      <c r="W46" s="15"/>
      <c r="X46" s="15"/>
    </row>
    <row r="47">
      <c r="A47" s="16" t="s">
        <v>143</v>
      </c>
      <c r="B47" s="29" t="s">
        <v>144</v>
      </c>
      <c r="C47" s="16" t="s">
        <v>26</v>
      </c>
      <c r="D47" s="9">
        <v>475.0</v>
      </c>
      <c r="E47" s="9">
        <v>122.0</v>
      </c>
      <c r="F47" s="9">
        <v>139.0</v>
      </c>
      <c r="G47" s="9">
        <v>214.0</v>
      </c>
      <c r="H47" s="9">
        <v>826.0</v>
      </c>
      <c r="I47" s="9">
        <v>565.0</v>
      </c>
      <c r="J47" s="11">
        <v>0.2568</v>
      </c>
      <c r="K47" s="11">
        <v>0.2926</v>
      </c>
      <c r="L47" s="11">
        <v>0.4505</v>
      </c>
      <c r="M47" s="11">
        <v>0.66</v>
      </c>
      <c r="N47" s="59">
        <v>0.684</v>
      </c>
      <c r="O47" s="23">
        <v>3.16</v>
      </c>
      <c r="P47" s="23">
        <v>1.74</v>
      </c>
      <c r="Q47" s="11">
        <v>0.5495</v>
      </c>
      <c r="R47" s="11">
        <v>0.4674</v>
      </c>
      <c r="S47" s="24"/>
      <c r="T47" s="16"/>
      <c r="U47" s="15"/>
      <c r="V47" s="15"/>
      <c r="W47" s="15"/>
      <c r="X47" s="15"/>
    </row>
    <row r="48">
      <c r="A48" s="65" t="s">
        <v>148</v>
      </c>
      <c r="B48" s="57" t="s">
        <v>149</v>
      </c>
      <c r="C48" s="66" t="s">
        <v>42</v>
      </c>
      <c r="D48" s="72">
        <v>109.0</v>
      </c>
      <c r="E48" s="72">
        <v>54.0</v>
      </c>
      <c r="F48" s="73">
        <v>5.0</v>
      </c>
      <c r="G48" s="72">
        <v>50.0</v>
      </c>
      <c r="H48" s="72">
        <v>909.0</v>
      </c>
      <c r="I48" s="72">
        <v>850.0</v>
      </c>
      <c r="J48" s="74">
        <v>0.4954</v>
      </c>
      <c r="K48" s="74">
        <v>0.0459</v>
      </c>
      <c r="L48" s="74">
        <v>0.4587</v>
      </c>
      <c r="M48" s="75">
        <v>0.9351</v>
      </c>
      <c r="N48" s="76" t="s">
        <v>34</v>
      </c>
      <c r="O48" s="77">
        <v>15.4067796610169</v>
      </c>
      <c r="P48" s="78">
        <v>8.3394495412844</v>
      </c>
      <c r="Q48" s="75">
        <v>0.5413</v>
      </c>
      <c r="R48" s="75">
        <v>0.9153</v>
      </c>
      <c r="S48" s="42"/>
      <c r="T48" s="55"/>
      <c r="U48" s="56"/>
      <c r="V48" s="44"/>
      <c r="W48" s="44"/>
      <c r="X48" s="15"/>
    </row>
    <row r="49">
      <c r="A49" s="27" t="s">
        <v>153</v>
      </c>
      <c r="B49" s="47"/>
      <c r="C49" s="31" t="s">
        <v>33</v>
      </c>
      <c r="D49" s="48">
        <v>53.0</v>
      </c>
      <c r="E49" s="48">
        <v>1.0</v>
      </c>
      <c r="F49" s="51">
        <v>26.0</v>
      </c>
      <c r="G49" s="48">
        <v>26.0</v>
      </c>
      <c r="H49" s="48">
        <v>28.0</v>
      </c>
      <c r="I49" s="48">
        <v>1.0</v>
      </c>
      <c r="J49" s="36">
        <v>0.0189</v>
      </c>
      <c r="K49" s="36">
        <v>0.4906</v>
      </c>
      <c r="L49" s="36">
        <v>0.4906</v>
      </c>
      <c r="M49" s="37">
        <v>0.0357</v>
      </c>
      <c r="N49" s="54" t="s">
        <v>34</v>
      </c>
      <c r="O49" s="39">
        <v>1.03703703703703</v>
      </c>
      <c r="P49" s="41">
        <v>0.528301886792452</v>
      </c>
      <c r="Q49" s="37">
        <v>0.5094</v>
      </c>
      <c r="R49" s="37">
        <v>0.037</v>
      </c>
      <c r="S49" s="42"/>
      <c r="T49" s="55"/>
      <c r="U49" s="55"/>
      <c r="V49" s="79"/>
      <c r="W49" s="79"/>
      <c r="X49" s="79"/>
    </row>
    <row r="50">
      <c r="A50" s="27" t="s">
        <v>157</v>
      </c>
      <c r="B50" s="57" t="s">
        <v>158</v>
      </c>
      <c r="C50" s="31" t="s">
        <v>31</v>
      </c>
      <c r="D50" s="48">
        <v>133.0</v>
      </c>
      <c r="E50" s="48">
        <v>20.0</v>
      </c>
      <c r="F50" s="51">
        <v>47.0</v>
      </c>
      <c r="G50" s="48">
        <v>66.0</v>
      </c>
      <c r="H50" s="48">
        <v>109.0</v>
      </c>
      <c r="I50" s="48">
        <v>42.0</v>
      </c>
      <c r="J50" s="36">
        <v>0.1504</v>
      </c>
      <c r="K50" s="36">
        <v>0.3534</v>
      </c>
      <c r="L50" s="36">
        <v>0.4962</v>
      </c>
      <c r="M50" s="37">
        <v>0.3853</v>
      </c>
      <c r="N50" s="54" t="s">
        <v>34</v>
      </c>
      <c r="O50" s="39">
        <v>1.63</v>
      </c>
      <c r="P50" s="41">
        <v>0.82</v>
      </c>
      <c r="Q50" s="37">
        <v>0.5038</v>
      </c>
      <c r="R50" s="37">
        <v>0.2985</v>
      </c>
      <c r="S50" s="42"/>
      <c r="T50" s="55"/>
      <c r="U50" s="56"/>
      <c r="V50" s="44"/>
      <c r="W50" s="44"/>
      <c r="X50" s="15"/>
    </row>
    <row r="51">
      <c r="A51" s="27" t="s">
        <v>167</v>
      </c>
      <c r="B51" s="57" t="s">
        <v>168</v>
      </c>
      <c r="C51" s="31" t="s">
        <v>33</v>
      </c>
      <c r="D51" s="48">
        <v>18.0</v>
      </c>
      <c r="E51" s="48">
        <v>3.0</v>
      </c>
      <c r="F51" s="51">
        <v>6.0</v>
      </c>
      <c r="G51" s="48">
        <v>9.0</v>
      </c>
      <c r="H51" s="48">
        <v>14.0</v>
      </c>
      <c r="I51" s="48">
        <v>5.0</v>
      </c>
      <c r="J51" s="36">
        <v>0.1667</v>
      </c>
      <c r="K51" s="36">
        <v>0.3333</v>
      </c>
      <c r="L51" s="36">
        <v>0.5</v>
      </c>
      <c r="M51" s="37">
        <v>0.3571</v>
      </c>
      <c r="N51" s="54" t="s">
        <v>34</v>
      </c>
      <c r="O51" s="39">
        <v>1.56</v>
      </c>
      <c r="P51" s="41">
        <v>0.78</v>
      </c>
      <c r="Q51" s="37">
        <v>0.5</v>
      </c>
      <c r="R51" s="37">
        <v>0.3333</v>
      </c>
      <c r="S51" s="42"/>
      <c r="T51" s="55"/>
      <c r="U51" s="56"/>
      <c r="V51" s="44"/>
      <c r="W51" s="44"/>
      <c r="X51" s="15"/>
    </row>
    <row r="52">
      <c r="A52" s="27" t="s">
        <v>174</v>
      </c>
      <c r="B52" s="29" t="s">
        <v>176</v>
      </c>
      <c r="C52" s="31" t="s">
        <v>98</v>
      </c>
      <c r="D52" s="32">
        <v>116.0</v>
      </c>
      <c r="E52" s="32">
        <v>28.0</v>
      </c>
      <c r="F52" s="34">
        <v>28.0</v>
      </c>
      <c r="G52" s="32">
        <v>60.0</v>
      </c>
      <c r="H52" s="32">
        <v>215.0</v>
      </c>
      <c r="I52" s="32">
        <v>159.0</v>
      </c>
      <c r="J52" s="36">
        <v>0.2414</v>
      </c>
      <c r="K52" s="36">
        <v>0.2414</v>
      </c>
      <c r="L52" s="36">
        <v>0.5172</v>
      </c>
      <c r="M52" s="37">
        <v>0.6542</v>
      </c>
      <c r="N52" s="38">
        <v>0.7395</v>
      </c>
      <c r="O52" s="39">
        <v>3.84</v>
      </c>
      <c r="P52" s="41">
        <v>1.85</v>
      </c>
      <c r="Q52" s="37">
        <v>0.4828</v>
      </c>
      <c r="R52" s="37">
        <v>0.5</v>
      </c>
      <c r="S52" s="42"/>
      <c r="T52" s="55"/>
      <c r="U52" s="56"/>
      <c r="V52" s="44"/>
      <c r="W52" s="44"/>
      <c r="X52" s="15"/>
    </row>
    <row r="53">
      <c r="A53" s="16" t="s">
        <v>182</v>
      </c>
      <c r="B53" s="47" t="s">
        <v>183</v>
      </c>
      <c r="C53" s="16" t="s">
        <v>31</v>
      </c>
      <c r="D53" s="22">
        <v>76.0</v>
      </c>
      <c r="E53" s="22">
        <v>21.0</v>
      </c>
      <c r="F53" s="22">
        <v>16.0</v>
      </c>
      <c r="G53" s="22">
        <v>39.0</v>
      </c>
      <c r="H53" s="22">
        <v>106.0</v>
      </c>
      <c r="I53" s="22">
        <v>69.0</v>
      </c>
      <c r="J53" s="11">
        <v>0.2763</v>
      </c>
      <c r="K53" s="11">
        <v>0.2105</v>
      </c>
      <c r="L53" s="11">
        <v>0.5132</v>
      </c>
      <c r="M53" s="11">
        <v>0.6509</v>
      </c>
      <c r="N53" s="9" t="s">
        <v>34</v>
      </c>
      <c r="O53" s="23">
        <v>2.86486486486486</v>
      </c>
      <c r="P53" s="23">
        <v>1.39473684210526</v>
      </c>
      <c r="Q53" s="11">
        <v>0.4868</v>
      </c>
      <c r="R53" s="11">
        <v>0.5676</v>
      </c>
      <c r="S53" s="24"/>
      <c r="T53" s="15"/>
      <c r="U53" s="15"/>
      <c r="V53" s="15"/>
      <c r="W53" s="15"/>
      <c r="X53" s="15"/>
    </row>
    <row r="54">
      <c r="A54" s="27" t="s">
        <v>189</v>
      </c>
      <c r="B54" s="57" t="s">
        <v>190</v>
      </c>
      <c r="C54" s="31" t="s">
        <v>33</v>
      </c>
      <c r="D54" s="48">
        <v>276.0</v>
      </c>
      <c r="E54" s="48">
        <v>61.0</v>
      </c>
      <c r="F54" s="51">
        <v>66.0</v>
      </c>
      <c r="G54" s="48">
        <v>149.0</v>
      </c>
      <c r="H54" s="48">
        <v>316.0</v>
      </c>
      <c r="I54" s="48">
        <v>189.0</v>
      </c>
      <c r="J54" s="36">
        <v>0.2210144927536232</v>
      </c>
      <c r="K54" s="36">
        <v>0.2391304347826087</v>
      </c>
      <c r="L54" s="36">
        <v>0.5398550724637681</v>
      </c>
      <c r="M54" s="37">
        <v>0.5981012658227848</v>
      </c>
      <c r="N54" s="54" t="s">
        <v>34</v>
      </c>
      <c r="O54" s="39">
        <v>2.4881889763779528</v>
      </c>
      <c r="P54" s="41">
        <v>1.144927536231884</v>
      </c>
      <c r="Q54" s="37">
        <v>0.4601449275362319</v>
      </c>
      <c r="R54" s="37">
        <v>0.48031496062992124</v>
      </c>
      <c r="S54" s="42"/>
      <c r="T54" s="55"/>
      <c r="U54" s="56"/>
      <c r="V54" s="44"/>
      <c r="W54" s="44"/>
      <c r="X54" s="15"/>
    </row>
    <row r="55">
      <c r="A55" s="16" t="s">
        <v>195</v>
      </c>
      <c r="B55" s="57" t="s">
        <v>196</v>
      </c>
      <c r="C55" s="16" t="s">
        <v>31</v>
      </c>
      <c r="D55" s="22">
        <v>11.0</v>
      </c>
      <c r="E55" s="22">
        <v>3.0</v>
      </c>
      <c r="F55" s="22">
        <v>2.0</v>
      </c>
      <c r="G55" s="22">
        <v>6.0</v>
      </c>
      <c r="H55" s="22">
        <v>13.0</v>
      </c>
      <c r="I55" s="22">
        <v>8.0</v>
      </c>
      <c r="J55" s="11">
        <v>0.2727</v>
      </c>
      <c r="K55" s="11">
        <v>0.1818</v>
      </c>
      <c r="L55" s="11">
        <v>0.5455</v>
      </c>
      <c r="M55" s="11">
        <v>0.6154</v>
      </c>
      <c r="N55" s="9" t="s">
        <v>34</v>
      </c>
      <c r="O55" s="23">
        <v>2.6</v>
      </c>
      <c r="P55" s="23">
        <v>1.18</v>
      </c>
      <c r="Q55" s="11">
        <v>0.4545</v>
      </c>
      <c r="R55" s="11">
        <v>0.6</v>
      </c>
      <c r="S55" s="24"/>
      <c r="T55" s="53"/>
      <c r="U55" s="15"/>
      <c r="V55" s="15"/>
      <c r="W55" s="15"/>
      <c r="X55" s="15"/>
    </row>
    <row r="56">
      <c r="A56" s="27" t="s">
        <v>203</v>
      </c>
      <c r="B56" s="29" t="s">
        <v>204</v>
      </c>
      <c r="C56" s="31" t="s">
        <v>46</v>
      </c>
      <c r="D56" s="32">
        <v>18.0</v>
      </c>
      <c r="E56" s="32">
        <v>4.0</v>
      </c>
      <c r="F56" s="34">
        <v>6.0</v>
      </c>
      <c r="G56" s="32">
        <v>8.0</v>
      </c>
      <c r="H56" s="32">
        <v>17.0</v>
      </c>
      <c r="I56" s="32">
        <v>7.0</v>
      </c>
      <c r="J56" s="36">
        <v>0.2222</v>
      </c>
      <c r="K56" s="36">
        <v>0.3333</v>
      </c>
      <c r="L56" s="36">
        <v>0.4444</v>
      </c>
      <c r="M56" s="37">
        <v>0.3784</v>
      </c>
      <c r="N56" s="38">
        <v>0.4118</v>
      </c>
      <c r="O56" s="39">
        <v>1.7</v>
      </c>
      <c r="P56" s="41">
        <v>0.94</v>
      </c>
      <c r="Q56" s="37">
        <v>0.5556</v>
      </c>
      <c r="R56" s="37">
        <v>0.4</v>
      </c>
      <c r="S56" s="42"/>
      <c r="T56" s="55"/>
      <c r="U56" s="56"/>
      <c r="V56" s="44"/>
      <c r="W56" s="44"/>
      <c r="X56" s="15"/>
    </row>
    <row r="57">
      <c r="A57" s="27" t="s">
        <v>122</v>
      </c>
      <c r="B57" s="57" t="s">
        <v>208</v>
      </c>
      <c r="C57" s="31" t="s">
        <v>46</v>
      </c>
      <c r="D57" s="32">
        <v>136.0</v>
      </c>
      <c r="E57" s="83">
        <v>27.0</v>
      </c>
      <c r="F57" s="34">
        <v>31.0</v>
      </c>
      <c r="G57" s="32">
        <v>78.0</v>
      </c>
      <c r="H57" s="32">
        <v>141.0</v>
      </c>
      <c r="I57" s="32">
        <v>83.0</v>
      </c>
      <c r="J57" s="36">
        <v>0.1985</v>
      </c>
      <c r="K57" s="36">
        <v>0.2279</v>
      </c>
      <c r="L57" s="36">
        <v>0.5735</v>
      </c>
      <c r="M57" s="37">
        <v>0.5887</v>
      </c>
      <c r="N57" s="38">
        <v>0.28846153846153844</v>
      </c>
      <c r="O57" s="39">
        <v>2.43</v>
      </c>
      <c r="P57" s="41">
        <v>1.04</v>
      </c>
      <c r="Q57" s="37">
        <v>0.4265</v>
      </c>
      <c r="R57" s="37">
        <v>0.4655</v>
      </c>
      <c r="S57" s="42"/>
      <c r="T57" s="15"/>
      <c r="U57" s="15"/>
      <c r="V57" s="15"/>
      <c r="W57" s="15"/>
      <c r="X57" s="15"/>
    </row>
    <row r="58">
      <c r="A58" s="16" t="s">
        <v>217</v>
      </c>
      <c r="B58" s="57" t="s">
        <v>218</v>
      </c>
      <c r="C58" s="16" t="s">
        <v>31</v>
      </c>
      <c r="D58" s="22">
        <v>26.0</v>
      </c>
      <c r="E58" s="22">
        <v>4.0</v>
      </c>
      <c r="F58" s="22">
        <v>7.0</v>
      </c>
      <c r="G58" s="22">
        <v>15.0</v>
      </c>
      <c r="H58" s="22">
        <v>22.0</v>
      </c>
      <c r="I58" s="22">
        <v>11.0</v>
      </c>
      <c r="J58" s="11">
        <v>0.1538</v>
      </c>
      <c r="K58" s="11">
        <v>0.2692</v>
      </c>
      <c r="L58" s="11">
        <v>0.5769</v>
      </c>
      <c r="M58" s="11">
        <v>0.5</v>
      </c>
      <c r="N58" s="9" t="s">
        <v>34</v>
      </c>
      <c r="O58" s="23">
        <v>2.0</v>
      </c>
      <c r="P58" s="23">
        <v>0.846153846153846</v>
      </c>
      <c r="Q58" s="11">
        <v>0.4231</v>
      </c>
      <c r="R58" s="11">
        <v>0.3636</v>
      </c>
      <c r="S58" s="24"/>
      <c r="T58" s="15"/>
      <c r="U58" s="15"/>
      <c r="V58" s="15"/>
      <c r="W58" s="15"/>
      <c r="X58" s="15"/>
    </row>
    <row r="59">
      <c r="A59" s="16" t="s">
        <v>219</v>
      </c>
      <c r="B59" s="57" t="s">
        <v>224</v>
      </c>
      <c r="C59" s="16" t="s">
        <v>31</v>
      </c>
      <c r="D59" s="22">
        <v>22.0</v>
      </c>
      <c r="E59" s="22">
        <v>3.0</v>
      </c>
      <c r="F59" s="22">
        <v>5.0</v>
      </c>
      <c r="G59" s="22">
        <v>14.0</v>
      </c>
      <c r="H59" s="22">
        <v>12.0</v>
      </c>
      <c r="I59" s="22">
        <v>4.0</v>
      </c>
      <c r="J59" s="11">
        <v>0.1364</v>
      </c>
      <c r="K59" s="11">
        <v>0.2273</v>
      </c>
      <c r="L59" s="11">
        <v>0.6364</v>
      </c>
      <c r="M59" s="11">
        <v>0.3333</v>
      </c>
      <c r="N59" s="9" t="s">
        <v>34</v>
      </c>
      <c r="O59" s="23">
        <v>1.5</v>
      </c>
      <c r="P59" s="23">
        <v>0.545454545454545</v>
      </c>
      <c r="Q59" s="11">
        <v>0.3636</v>
      </c>
      <c r="R59" s="11">
        <v>0.375</v>
      </c>
      <c r="S59" s="24"/>
      <c r="T59" s="15"/>
      <c r="U59" s="15"/>
      <c r="V59" s="15"/>
      <c r="W59" s="15"/>
      <c r="X59" s="15"/>
    </row>
    <row r="60">
      <c r="A60" s="16" t="s">
        <v>231</v>
      </c>
      <c r="B60" s="57" t="s">
        <v>232</v>
      </c>
      <c r="C60" s="16" t="s">
        <v>31</v>
      </c>
      <c r="D60" s="22">
        <v>62.0</v>
      </c>
      <c r="E60" s="22">
        <v>3.0</v>
      </c>
      <c r="F60" s="22">
        <v>18.0</v>
      </c>
      <c r="G60" s="22">
        <v>41.0</v>
      </c>
      <c r="H60" s="22">
        <v>30.0</v>
      </c>
      <c r="I60" s="22">
        <v>9.0</v>
      </c>
      <c r="J60" s="11">
        <v>0.0484</v>
      </c>
      <c r="K60" s="11">
        <v>0.2903</v>
      </c>
      <c r="L60" s="11">
        <v>0.6613</v>
      </c>
      <c r="M60" s="11">
        <v>0.3</v>
      </c>
      <c r="N60" s="9" t="s">
        <v>34</v>
      </c>
      <c r="O60" s="23">
        <v>1.42857142857142</v>
      </c>
      <c r="P60" s="23">
        <v>0.483870967741935</v>
      </c>
      <c r="Q60" s="11">
        <v>0.3387</v>
      </c>
      <c r="R60" s="11">
        <v>0.1429</v>
      </c>
      <c r="S60" s="24"/>
      <c r="T60" s="15"/>
      <c r="U60" s="15"/>
      <c r="V60" s="15"/>
      <c r="W60" s="15"/>
      <c r="X60" s="15"/>
    </row>
    <row r="61">
      <c r="A61" s="27" t="s">
        <v>240</v>
      </c>
      <c r="B61" s="57" t="s">
        <v>241</v>
      </c>
      <c r="C61" s="31" t="s">
        <v>31</v>
      </c>
      <c r="D61" s="48">
        <v>554.0</v>
      </c>
      <c r="E61" s="48">
        <v>29.0</v>
      </c>
      <c r="F61" s="51">
        <v>131.0</v>
      </c>
      <c r="G61" s="48">
        <v>394.0</v>
      </c>
      <c r="H61" s="48">
        <v>258.0</v>
      </c>
      <c r="I61" s="48">
        <v>98.0</v>
      </c>
      <c r="J61" s="36">
        <v>0.052300000000000006</v>
      </c>
      <c r="K61" s="36">
        <v>0.2365</v>
      </c>
      <c r="L61" s="36">
        <v>0.7112</v>
      </c>
      <c r="M61" s="37">
        <v>0.37979999999999997</v>
      </c>
      <c r="N61" s="54" t="s">
        <v>34</v>
      </c>
      <c r="O61" s="39">
        <v>1.61</v>
      </c>
      <c r="P61" s="41">
        <v>0.47</v>
      </c>
      <c r="Q61" s="37">
        <v>0.2888</v>
      </c>
      <c r="R61" s="37">
        <v>0.1813</v>
      </c>
      <c r="S61" s="42"/>
      <c r="T61" s="55"/>
      <c r="U61" s="56"/>
      <c r="V61" s="44"/>
      <c r="W61" s="44"/>
      <c r="X61" s="15"/>
    </row>
    <row r="62">
      <c r="A62" s="27" t="s">
        <v>246</v>
      </c>
      <c r="B62" s="57" t="s">
        <v>248</v>
      </c>
      <c r="C62" s="31" t="s">
        <v>31</v>
      </c>
      <c r="D62" s="48">
        <v>49.0</v>
      </c>
      <c r="E62" s="48">
        <v>6.0</v>
      </c>
      <c r="F62" s="51">
        <v>6.0</v>
      </c>
      <c r="G62" s="48">
        <v>37.0</v>
      </c>
      <c r="H62" s="48">
        <v>23.0</v>
      </c>
      <c r="I62" s="48">
        <v>11.0</v>
      </c>
      <c r="J62" s="36">
        <v>0.12240000000000001</v>
      </c>
      <c r="K62" s="36">
        <v>0.12240000000000001</v>
      </c>
      <c r="L62" s="36">
        <v>0.7551000000000001</v>
      </c>
      <c r="M62" s="37">
        <v>0.4783</v>
      </c>
      <c r="N62" s="54" t="s">
        <v>34</v>
      </c>
      <c r="O62" s="39">
        <v>1.92</v>
      </c>
      <c r="P62" s="41">
        <v>0.47</v>
      </c>
      <c r="Q62" s="37">
        <v>0.24489999999999998</v>
      </c>
      <c r="R62" s="37">
        <v>0.5</v>
      </c>
      <c r="S62" s="42"/>
      <c r="T62" s="55"/>
      <c r="U62" s="56"/>
      <c r="V62" s="44"/>
      <c r="W62" s="44"/>
      <c r="X62" s="15"/>
    </row>
    <row r="63">
      <c r="A63" s="16" t="s">
        <v>255</v>
      </c>
      <c r="B63" s="57" t="s">
        <v>257</v>
      </c>
      <c r="C63" s="16" t="s">
        <v>31</v>
      </c>
      <c r="D63" s="22">
        <v>145.0</v>
      </c>
      <c r="E63" s="22">
        <v>18.0</v>
      </c>
      <c r="F63" s="22">
        <v>17.0</v>
      </c>
      <c r="G63" s="22">
        <v>110.0</v>
      </c>
      <c r="H63" s="22">
        <v>138.0</v>
      </c>
      <c r="I63" s="22">
        <v>103.0</v>
      </c>
      <c r="J63" s="11">
        <v>0.1241</v>
      </c>
      <c r="K63" s="11">
        <v>0.1172</v>
      </c>
      <c r="L63" s="11">
        <v>0.7586</v>
      </c>
      <c r="M63" s="11">
        <v>0.7464</v>
      </c>
      <c r="N63" s="9" t="s">
        <v>34</v>
      </c>
      <c r="O63" s="23">
        <v>3.94</v>
      </c>
      <c r="P63" s="23">
        <v>0.95</v>
      </c>
      <c r="Q63" s="11">
        <v>0.2414</v>
      </c>
      <c r="R63" s="11">
        <v>0.5143</v>
      </c>
      <c r="S63" s="24"/>
      <c r="T63" s="15"/>
      <c r="U63" s="15"/>
      <c r="V63" s="15"/>
      <c r="W63" s="15"/>
      <c r="X63" s="15"/>
    </row>
    <row r="64">
      <c r="A64" s="27" t="s">
        <v>264</v>
      </c>
      <c r="B64" s="57" t="s">
        <v>265</v>
      </c>
      <c r="C64" s="31" t="s">
        <v>31</v>
      </c>
      <c r="D64" s="48">
        <v>319.0</v>
      </c>
      <c r="E64" s="48">
        <v>26.0</v>
      </c>
      <c r="F64" s="51">
        <v>43.0</v>
      </c>
      <c r="G64" s="48">
        <v>250.0</v>
      </c>
      <c r="H64" s="48">
        <v>164.0</v>
      </c>
      <c r="I64" s="48">
        <v>95.0</v>
      </c>
      <c r="J64" s="36">
        <v>0.3768</v>
      </c>
      <c r="K64" s="36">
        <v>0.1347</v>
      </c>
      <c r="L64" s="36">
        <v>0.7836</v>
      </c>
      <c r="M64" s="37">
        <v>0.582</v>
      </c>
      <c r="N64" s="54"/>
      <c r="O64" s="39">
        <v>2.37</v>
      </c>
      <c r="P64" s="41">
        <v>0.51</v>
      </c>
      <c r="Q64" s="37">
        <v>0.215</v>
      </c>
      <c r="R64" s="37">
        <v>0.3768</v>
      </c>
      <c r="S64" s="42"/>
      <c r="T64" s="55"/>
      <c r="U64" s="56"/>
      <c r="V64" s="44"/>
      <c r="W64" s="44"/>
      <c r="X64" s="15"/>
    </row>
    <row r="65">
      <c r="A65" s="65" t="s">
        <v>121</v>
      </c>
      <c r="B65" s="47" t="s">
        <v>273</v>
      </c>
      <c r="C65" s="66" t="s">
        <v>31</v>
      </c>
      <c r="D65" s="72">
        <v>81.0</v>
      </c>
      <c r="E65" s="72">
        <v>8.0</v>
      </c>
      <c r="F65" s="84"/>
      <c r="G65" s="72">
        <v>44.0</v>
      </c>
      <c r="H65" s="72">
        <v>49.0</v>
      </c>
      <c r="I65" s="72">
        <v>12.0</v>
      </c>
      <c r="J65" s="86"/>
      <c r="K65" s="86"/>
      <c r="L65" s="86"/>
      <c r="M65" s="75">
        <v>0.24489795918367346</v>
      </c>
      <c r="N65" s="67">
        <v>0.12903225806451613</v>
      </c>
      <c r="O65" s="77">
        <v>1.3243243243243243</v>
      </c>
      <c r="P65" s="87"/>
      <c r="Q65" s="75">
        <v>0.4567901234567901</v>
      </c>
      <c r="R65" s="75">
        <v>0.21621621621621623</v>
      </c>
      <c r="S65" s="42"/>
      <c r="T65" s="15"/>
      <c r="U65" s="15"/>
      <c r="V65" s="15"/>
      <c r="W65" s="15"/>
      <c r="X65" s="15"/>
    </row>
    <row r="66">
      <c r="A66" s="65" t="s">
        <v>130</v>
      </c>
      <c r="B66" s="57" t="s">
        <v>284</v>
      </c>
      <c r="C66" s="66" t="s">
        <v>33</v>
      </c>
      <c r="D66" s="72">
        <v>33.0</v>
      </c>
      <c r="E66" s="72">
        <v>15.0</v>
      </c>
      <c r="F66" s="84"/>
      <c r="G66" s="72">
        <v>8.0</v>
      </c>
      <c r="H66" s="72">
        <v>46.0</v>
      </c>
      <c r="I66" s="72">
        <v>21.0</v>
      </c>
      <c r="J66" s="86"/>
      <c r="K66" s="86"/>
      <c r="L66" s="86"/>
      <c r="M66" s="75">
        <v>0.45652173913043476</v>
      </c>
      <c r="N66" s="67">
        <v>0.3888888888888889</v>
      </c>
      <c r="O66" s="77">
        <v>1.84</v>
      </c>
      <c r="P66" s="87"/>
      <c r="Q66" s="75">
        <v>0.7575757575757576</v>
      </c>
      <c r="R66" s="75">
        <v>0.6</v>
      </c>
      <c r="S66" s="42"/>
      <c r="T66" s="55"/>
      <c r="U66" s="56"/>
      <c r="V66" s="44"/>
      <c r="W66" s="44"/>
      <c r="X66" s="15"/>
    </row>
    <row r="67">
      <c r="A67" s="65" t="s">
        <v>141</v>
      </c>
      <c r="B67" s="57" t="s">
        <v>291</v>
      </c>
      <c r="C67" s="31" t="s">
        <v>98</v>
      </c>
      <c r="D67" s="72">
        <v>113.0</v>
      </c>
      <c r="E67" s="72">
        <v>12.0</v>
      </c>
      <c r="F67" s="84"/>
      <c r="G67" s="72">
        <v>58.0</v>
      </c>
      <c r="H67" s="72">
        <v>144.0</v>
      </c>
      <c r="I67" s="72">
        <v>89.0</v>
      </c>
      <c r="J67" s="86"/>
      <c r="K67" s="86"/>
      <c r="L67" s="86"/>
      <c r="M67" s="75">
        <v>0.6180555555555556</v>
      </c>
      <c r="N67" s="67">
        <v>0.4405940594059406</v>
      </c>
      <c r="O67" s="77">
        <v>2.618181818181818</v>
      </c>
      <c r="P67" s="87"/>
      <c r="Q67" s="75">
        <v>0.48672566371681414</v>
      </c>
      <c r="R67" s="75">
        <v>0.21818181818181817</v>
      </c>
      <c r="S67" s="42"/>
      <c r="T67" s="55"/>
      <c r="U67" s="56"/>
      <c r="V67" s="44"/>
      <c r="W67" s="44"/>
      <c r="X67" s="15"/>
    </row>
    <row r="68">
      <c r="A68" s="88" t="s">
        <v>142</v>
      </c>
      <c r="B68" s="57" t="s">
        <v>300</v>
      </c>
      <c r="C68" s="31" t="s">
        <v>42</v>
      </c>
      <c r="D68" s="72">
        <v>50.0</v>
      </c>
      <c r="E68" s="72">
        <v>12.0</v>
      </c>
      <c r="F68" s="84"/>
      <c r="G68" s="72">
        <v>18.0</v>
      </c>
      <c r="H68" s="72">
        <v>127.0</v>
      </c>
      <c r="I68" s="72">
        <v>95.0</v>
      </c>
      <c r="J68" s="86"/>
      <c r="K68" s="86"/>
      <c r="L68" s="86"/>
      <c r="M68" s="75">
        <v>0.7480314960629921</v>
      </c>
      <c r="N68" s="67">
        <v>0.6551724137931034</v>
      </c>
      <c r="O68" s="77">
        <v>3.96875</v>
      </c>
      <c r="P68" s="87"/>
      <c r="Q68" s="75">
        <v>0.64</v>
      </c>
      <c r="R68" s="75">
        <v>0.375</v>
      </c>
      <c r="S68" s="42"/>
      <c r="T68" s="55"/>
      <c r="U68" s="56"/>
      <c r="V68" s="44"/>
      <c r="W68" s="44"/>
      <c r="X68" s="15"/>
    </row>
    <row r="69">
      <c r="A69" s="88" t="s">
        <v>146</v>
      </c>
      <c r="B69" s="57" t="s">
        <v>308</v>
      </c>
      <c r="C69" s="66" t="s">
        <v>26</v>
      </c>
      <c r="D69" s="72">
        <v>21.0</v>
      </c>
      <c r="E69" s="72">
        <v>5.0</v>
      </c>
      <c r="F69" s="84"/>
      <c r="G69" s="72">
        <v>6.0</v>
      </c>
      <c r="H69" s="72">
        <v>29.0</v>
      </c>
      <c r="I69" s="72">
        <v>14.0</v>
      </c>
      <c r="J69" s="86"/>
      <c r="K69" s="86"/>
      <c r="L69" s="86"/>
      <c r="M69" s="75">
        <v>0.4827586206896552</v>
      </c>
      <c r="N69" s="67">
        <v>0.4</v>
      </c>
      <c r="O69" s="77">
        <v>1.9333333333333333</v>
      </c>
      <c r="P69" s="87"/>
      <c r="Q69" s="75">
        <v>0.7142857142857143</v>
      </c>
      <c r="R69" s="75">
        <v>0.3333333333333333</v>
      </c>
      <c r="S69" s="42"/>
      <c r="T69" s="55"/>
      <c r="U69" s="56"/>
      <c r="V69" s="44"/>
      <c r="W69" s="44"/>
      <c r="X69" s="15"/>
    </row>
    <row r="70">
      <c r="A70" s="65" t="s">
        <v>147</v>
      </c>
      <c r="B70" s="47" t="s">
        <v>315</v>
      </c>
      <c r="C70" s="66" t="s">
        <v>26</v>
      </c>
      <c r="D70" s="72">
        <v>26.0</v>
      </c>
      <c r="E70" s="72">
        <v>7.0</v>
      </c>
      <c r="F70" s="84"/>
      <c r="G70" s="72">
        <v>11.0</v>
      </c>
      <c r="H70" s="72">
        <v>35.0</v>
      </c>
      <c r="I70" s="72">
        <v>20.0</v>
      </c>
      <c r="J70" s="86"/>
      <c r="K70" s="86"/>
      <c r="L70" s="86"/>
      <c r="M70" s="75">
        <v>0.5714285714285714</v>
      </c>
      <c r="N70" s="67">
        <v>0.43478260869565216</v>
      </c>
      <c r="O70" s="77">
        <v>2.3333333333333335</v>
      </c>
      <c r="P70" s="87"/>
      <c r="Q70" s="75">
        <v>0.5769230769230769</v>
      </c>
      <c r="R70" s="75">
        <v>0.4666666666666667</v>
      </c>
      <c r="S70" s="42"/>
      <c r="T70" s="55"/>
      <c r="U70" s="56"/>
      <c r="V70" s="44"/>
      <c r="W70" s="44"/>
      <c r="X70" s="15"/>
    </row>
    <row r="71">
      <c r="A71" s="65" t="s">
        <v>159</v>
      </c>
      <c r="B71" s="57" t="s">
        <v>322</v>
      </c>
      <c r="C71" s="66" t="s">
        <v>26</v>
      </c>
      <c r="D71" s="72">
        <v>56.0</v>
      </c>
      <c r="E71" s="72">
        <v>8.0</v>
      </c>
      <c r="F71" s="84"/>
      <c r="G71" s="72">
        <v>13.0</v>
      </c>
      <c r="H71" s="72">
        <v>57.0</v>
      </c>
      <c r="I71" s="72">
        <v>14.0</v>
      </c>
      <c r="J71" s="86"/>
      <c r="K71" s="86"/>
      <c r="L71" s="86"/>
      <c r="M71" s="75">
        <v>0.24561403508771928</v>
      </c>
      <c r="N71" s="67">
        <v>0.2</v>
      </c>
      <c r="O71" s="77">
        <v>1.3255813953488371</v>
      </c>
      <c r="P71" s="87"/>
      <c r="Q71" s="75">
        <v>0.7678571428571429</v>
      </c>
      <c r="R71" s="75">
        <v>0.18604651162790697</v>
      </c>
      <c r="S71" s="42"/>
      <c r="T71" s="55"/>
      <c r="U71" s="27"/>
      <c r="V71" s="44"/>
      <c r="W71" s="44"/>
      <c r="X71" s="15"/>
    </row>
    <row r="72">
      <c r="A72" s="65" t="s">
        <v>160</v>
      </c>
      <c r="B72" s="57" t="s">
        <v>335</v>
      </c>
      <c r="C72" s="31" t="s">
        <v>98</v>
      </c>
      <c r="D72" s="72">
        <v>20.0</v>
      </c>
      <c r="E72" s="72">
        <v>5.0</v>
      </c>
      <c r="F72" s="84"/>
      <c r="G72" s="72">
        <v>6.0</v>
      </c>
      <c r="H72" s="72">
        <v>39.0</v>
      </c>
      <c r="I72" s="72">
        <v>25.0</v>
      </c>
      <c r="J72" s="86"/>
      <c r="K72" s="86"/>
      <c r="L72" s="86"/>
      <c r="M72" s="75">
        <v>0.6410256410256411</v>
      </c>
      <c r="N72" s="67">
        <v>0.5555555555555556</v>
      </c>
      <c r="O72" s="77">
        <v>2.7857142857142856</v>
      </c>
      <c r="P72" s="87"/>
      <c r="Q72" s="75">
        <v>0.7</v>
      </c>
      <c r="R72" s="75">
        <v>0.35714285714285715</v>
      </c>
      <c r="S72" s="42"/>
      <c r="T72" s="55"/>
      <c r="U72" s="56"/>
      <c r="V72" s="44"/>
      <c r="W72" s="44"/>
      <c r="X72" s="15"/>
    </row>
    <row r="73">
      <c r="A73" s="65" t="s">
        <v>163</v>
      </c>
      <c r="B73" s="57" t="s">
        <v>340</v>
      </c>
      <c r="C73" s="31" t="s">
        <v>46</v>
      </c>
      <c r="D73" s="72">
        <v>36.0</v>
      </c>
      <c r="E73" s="72">
        <v>6.0</v>
      </c>
      <c r="F73" s="84"/>
      <c r="G73" s="72">
        <v>8.0</v>
      </c>
      <c r="H73" s="72">
        <v>38.0</v>
      </c>
      <c r="I73" s="72">
        <v>10.0</v>
      </c>
      <c r="J73" s="86"/>
      <c r="K73" s="86"/>
      <c r="L73" s="86"/>
      <c r="M73" s="75">
        <v>0.2631578947368421</v>
      </c>
      <c r="N73" s="67">
        <v>0.21739130434782608</v>
      </c>
      <c r="O73" s="77">
        <v>1.3571428571428572</v>
      </c>
      <c r="P73" s="87"/>
      <c r="Q73" s="75">
        <v>0.7777777777777778</v>
      </c>
      <c r="R73" s="75">
        <v>0.21428571428571427</v>
      </c>
      <c r="S73" s="42"/>
      <c r="T73" s="55"/>
      <c r="U73" s="56"/>
      <c r="V73" s="44"/>
      <c r="W73" s="44"/>
      <c r="X73" s="15"/>
    </row>
    <row r="74">
      <c r="A74" s="65" t="s">
        <v>164</v>
      </c>
      <c r="B74" s="57" t="s">
        <v>345</v>
      </c>
      <c r="C74" s="31" t="s">
        <v>98</v>
      </c>
      <c r="D74" s="72">
        <v>57.0</v>
      </c>
      <c r="E74" s="72">
        <v>12.0</v>
      </c>
      <c r="F74" s="84"/>
      <c r="G74" s="72">
        <v>7.0</v>
      </c>
      <c r="H74" s="72">
        <v>75.0</v>
      </c>
      <c r="I74" s="72">
        <v>25.0</v>
      </c>
      <c r="J74" s="86"/>
      <c r="K74" s="86"/>
      <c r="L74" s="86"/>
      <c r="M74" s="75">
        <v>0.3333333333333333</v>
      </c>
      <c r="N74" s="67">
        <v>0.3048780487804878</v>
      </c>
      <c r="O74" s="77">
        <v>1.5</v>
      </c>
      <c r="P74" s="87"/>
      <c r="Q74" s="75">
        <v>0.8771929824561403</v>
      </c>
      <c r="R74" s="75">
        <v>0.24</v>
      </c>
      <c r="S74" s="42"/>
      <c r="T74" s="55"/>
      <c r="U74" s="56"/>
      <c r="V74" s="44"/>
      <c r="W74" s="44"/>
      <c r="X74" s="15"/>
    </row>
    <row r="75">
      <c r="A75" s="65" t="s">
        <v>166</v>
      </c>
      <c r="B75" s="57" t="s">
        <v>349</v>
      </c>
      <c r="C75" s="66" t="s">
        <v>26</v>
      </c>
      <c r="D75" s="72">
        <v>40.0</v>
      </c>
      <c r="E75" s="72">
        <v>6.0</v>
      </c>
      <c r="F75" s="84"/>
      <c r="G75" s="72">
        <v>14.0</v>
      </c>
      <c r="H75" s="72">
        <v>37.0</v>
      </c>
      <c r="I75" s="72">
        <v>11.0</v>
      </c>
      <c r="J75" s="86"/>
      <c r="K75" s="86"/>
      <c r="L75" s="86"/>
      <c r="M75" s="75">
        <v>0.2972972972972973</v>
      </c>
      <c r="N75" s="67">
        <v>0.21568627450980393</v>
      </c>
      <c r="O75" s="77">
        <v>1.4230769230769231</v>
      </c>
      <c r="P75" s="87"/>
      <c r="Q75" s="75">
        <v>0.65</v>
      </c>
      <c r="R75" s="75">
        <v>0.23076923076923078</v>
      </c>
      <c r="S75" s="42"/>
      <c r="T75" s="55"/>
      <c r="U75" s="56"/>
      <c r="V75" s="44"/>
      <c r="W75" s="44"/>
      <c r="X75" s="15"/>
    </row>
    <row r="76">
      <c r="A76" s="65" t="s">
        <v>169</v>
      </c>
      <c r="B76" s="47" t="s">
        <v>352</v>
      </c>
      <c r="C76" s="31" t="s">
        <v>46</v>
      </c>
      <c r="D76" s="72">
        <v>48.0</v>
      </c>
      <c r="E76" s="72">
        <v>21.0</v>
      </c>
      <c r="F76" s="84"/>
      <c r="G76" s="72">
        <v>10.0</v>
      </c>
      <c r="H76" s="72">
        <v>111.0</v>
      </c>
      <c r="I76" s="72">
        <v>73.0</v>
      </c>
      <c r="J76" s="86"/>
      <c r="K76" s="86"/>
      <c r="L76" s="86"/>
      <c r="M76" s="75">
        <v>0.6576576576576577</v>
      </c>
      <c r="N76" s="67">
        <v>0.6033057851239669</v>
      </c>
      <c r="O76" s="77">
        <v>2.9210526315789473</v>
      </c>
      <c r="P76" s="87"/>
      <c r="Q76" s="75">
        <v>0.7916666666666666</v>
      </c>
      <c r="R76" s="75">
        <v>0.5526315789473685</v>
      </c>
      <c r="S76" s="42"/>
      <c r="T76" s="55"/>
      <c r="U76" s="56"/>
      <c r="V76" s="44"/>
      <c r="W76" s="44"/>
      <c r="X76" s="15"/>
    </row>
    <row r="77">
      <c r="A77" s="65" t="s">
        <v>172</v>
      </c>
      <c r="B77" s="57" t="s">
        <v>357</v>
      </c>
      <c r="C77" s="31" t="s">
        <v>42</v>
      </c>
      <c r="D77" s="72">
        <v>63.0</v>
      </c>
      <c r="E77" s="72">
        <v>14.0</v>
      </c>
      <c r="F77" s="84"/>
      <c r="G77" s="72">
        <v>24.0</v>
      </c>
      <c r="H77" s="72">
        <v>70.0</v>
      </c>
      <c r="I77" s="72">
        <v>31.0</v>
      </c>
      <c r="J77" s="86"/>
      <c r="K77" s="86"/>
      <c r="L77" s="86"/>
      <c r="M77" s="75">
        <v>0.44285714285714284</v>
      </c>
      <c r="N77" s="67">
        <v>0.32978723404255317</v>
      </c>
      <c r="O77" s="77">
        <v>1.794871794871795</v>
      </c>
      <c r="P77" s="87"/>
      <c r="Q77" s="75">
        <v>0.6190476190476191</v>
      </c>
      <c r="R77" s="75">
        <v>0.358974358974359</v>
      </c>
      <c r="S77" s="42"/>
      <c r="T77" s="55"/>
      <c r="U77" s="56"/>
      <c r="V77" s="44"/>
      <c r="W77" s="44"/>
      <c r="X77" s="15"/>
    </row>
    <row r="78">
      <c r="A78" s="65" t="s">
        <v>177</v>
      </c>
      <c r="B78" s="47" t="s">
        <v>362</v>
      </c>
      <c r="C78" s="66" t="s">
        <v>31</v>
      </c>
      <c r="D78" s="72">
        <v>51.0</v>
      </c>
      <c r="E78" s="72">
        <v>23.0</v>
      </c>
      <c r="F78" s="84"/>
      <c r="G78" s="72">
        <v>7.0</v>
      </c>
      <c r="H78" s="72">
        <v>132.0</v>
      </c>
      <c r="I78" s="72">
        <v>88.0</v>
      </c>
      <c r="J78" s="86"/>
      <c r="K78" s="86"/>
      <c r="L78" s="86"/>
      <c r="M78" s="75">
        <v>0.6666666666666666</v>
      </c>
      <c r="N78" s="67">
        <v>0.6330935251798561</v>
      </c>
      <c r="O78" s="77">
        <v>3.0</v>
      </c>
      <c r="P78" s="87"/>
      <c r="Q78" s="75">
        <v>0.8627450980392157</v>
      </c>
      <c r="R78" s="75">
        <v>0.5227272727272727</v>
      </c>
      <c r="S78" s="42"/>
      <c r="T78" s="55"/>
      <c r="U78" s="56"/>
      <c r="V78" s="44"/>
      <c r="W78" s="44"/>
      <c r="X78" s="15"/>
    </row>
    <row r="79">
      <c r="A79" s="27" t="s">
        <v>178</v>
      </c>
      <c r="B79" s="57" t="s">
        <v>364</v>
      </c>
      <c r="C79" s="31" t="s">
        <v>46</v>
      </c>
      <c r="D79" s="48">
        <v>113.0</v>
      </c>
      <c r="E79" s="48">
        <v>12.0</v>
      </c>
      <c r="F79" s="84"/>
      <c r="G79" s="48">
        <v>58.0</v>
      </c>
      <c r="H79" s="48">
        <v>144.0</v>
      </c>
      <c r="I79" s="48">
        <v>89.0</v>
      </c>
      <c r="J79" s="86"/>
      <c r="K79" s="86"/>
      <c r="L79" s="86"/>
      <c r="M79" s="37">
        <v>0.6180555555555556</v>
      </c>
      <c r="N79" s="38">
        <v>0.4405940594059406</v>
      </c>
      <c r="O79" s="39">
        <v>2.618181818181818</v>
      </c>
      <c r="P79" s="87"/>
      <c r="Q79" s="37">
        <v>0.48672566371681414</v>
      </c>
      <c r="R79" s="37">
        <v>0.21818181818181817</v>
      </c>
      <c r="S79" s="42"/>
      <c r="T79" s="55"/>
      <c r="U79" s="56"/>
      <c r="V79" s="44"/>
      <c r="W79" s="44"/>
      <c r="X79" s="15"/>
    </row>
    <row r="80">
      <c r="A80" s="65" t="s">
        <v>179</v>
      </c>
      <c r="B80" s="57" t="s">
        <v>368</v>
      </c>
      <c r="C80" s="31" t="s">
        <v>42</v>
      </c>
      <c r="D80" s="72">
        <v>15.0</v>
      </c>
      <c r="E80" s="72">
        <v>2.0</v>
      </c>
      <c r="F80" s="84"/>
      <c r="G80" s="72">
        <v>2.0</v>
      </c>
      <c r="H80" s="72">
        <v>16.0</v>
      </c>
      <c r="I80" s="72">
        <v>3.0</v>
      </c>
      <c r="J80" s="86"/>
      <c r="K80" s="86"/>
      <c r="L80" s="86"/>
      <c r="M80" s="75">
        <v>0.1875</v>
      </c>
      <c r="N80" s="67">
        <v>0.16666666666666666</v>
      </c>
      <c r="O80" s="77">
        <v>1.2307692307692308</v>
      </c>
      <c r="P80" s="87"/>
      <c r="Q80" s="75">
        <v>0.8666666666666667</v>
      </c>
      <c r="R80" s="75">
        <v>0.15384615384615385</v>
      </c>
      <c r="S80" s="42"/>
      <c r="T80" s="55"/>
      <c r="U80" s="56"/>
      <c r="V80" s="44"/>
      <c r="W80" s="44"/>
      <c r="X80" s="15"/>
    </row>
    <row r="81">
      <c r="A81" s="27" t="s">
        <v>193</v>
      </c>
      <c r="B81" s="29" t="s">
        <v>370</v>
      </c>
      <c r="C81" s="31" t="s">
        <v>98</v>
      </c>
      <c r="D81" s="32">
        <v>42.0</v>
      </c>
      <c r="E81" s="32">
        <v>6.0</v>
      </c>
      <c r="F81" s="34">
        <v>18.0</v>
      </c>
      <c r="G81" s="32">
        <v>18.0</v>
      </c>
      <c r="H81" s="32">
        <v>32.0</v>
      </c>
      <c r="I81" s="32">
        <v>8.0</v>
      </c>
      <c r="J81" s="36">
        <v>0.1429</v>
      </c>
      <c r="K81" s="36">
        <v>0.4286</v>
      </c>
      <c r="L81" s="36">
        <v>0.4286</v>
      </c>
      <c r="M81" s="37">
        <v>0.4</v>
      </c>
      <c r="N81" s="38">
        <v>0.25</v>
      </c>
      <c r="O81" s="39">
        <v>1.33</v>
      </c>
      <c r="P81" s="41">
        <v>0.76</v>
      </c>
      <c r="Q81" s="37">
        <v>0.5714</v>
      </c>
      <c r="R81" s="37">
        <v>0.25</v>
      </c>
      <c r="S81" s="42"/>
      <c r="T81" s="55"/>
      <c r="U81" s="56"/>
      <c r="V81" s="44"/>
      <c r="W81" s="44"/>
      <c r="X81" s="15"/>
    </row>
    <row r="82">
      <c r="A82" s="65" t="s">
        <v>194</v>
      </c>
      <c r="B82" s="57" t="s">
        <v>374</v>
      </c>
      <c r="C82" s="66" t="s">
        <v>26</v>
      </c>
      <c r="D82" s="72">
        <v>384.0</v>
      </c>
      <c r="E82" s="72">
        <v>98.0</v>
      </c>
      <c r="F82" s="84"/>
      <c r="G82" s="72">
        <v>74.0</v>
      </c>
      <c r="H82" s="72">
        <v>534.0</v>
      </c>
      <c r="I82" s="72">
        <v>224.0</v>
      </c>
      <c r="J82" s="86"/>
      <c r="K82" s="86"/>
      <c r="L82" s="86"/>
      <c r="M82" s="75">
        <v>0.41947565543071164</v>
      </c>
      <c r="N82" s="67">
        <v>0.3684210526315789</v>
      </c>
      <c r="O82" s="77">
        <v>1.7225806451612904</v>
      </c>
      <c r="P82" s="87"/>
      <c r="Q82" s="75">
        <v>0.8072916666666666</v>
      </c>
      <c r="R82" s="75">
        <v>0.3161290322580645</v>
      </c>
      <c r="S82" s="42"/>
      <c r="T82" s="55"/>
      <c r="U82" s="56"/>
      <c r="V82" s="44"/>
      <c r="W82" s="44"/>
      <c r="X82" s="15"/>
    </row>
    <row r="83">
      <c r="A83" s="65" t="s">
        <v>197</v>
      </c>
      <c r="B83" s="57" t="s">
        <v>378</v>
      </c>
      <c r="C83" s="31" t="s">
        <v>98</v>
      </c>
      <c r="D83" s="72">
        <v>66.0</v>
      </c>
      <c r="E83" s="72">
        <v>26.0</v>
      </c>
      <c r="F83" s="84"/>
      <c r="G83" s="72">
        <v>10.0</v>
      </c>
      <c r="H83" s="72">
        <v>153.0</v>
      </c>
      <c r="I83" s="72">
        <v>97.0</v>
      </c>
      <c r="J83" s="86"/>
      <c r="K83" s="86"/>
      <c r="L83" s="86"/>
      <c r="M83" s="75">
        <v>0.6339869281045751</v>
      </c>
      <c r="N83" s="67">
        <v>0.5950920245398773</v>
      </c>
      <c r="O83" s="77">
        <v>2.732142857142857</v>
      </c>
      <c r="P83" s="87"/>
      <c r="Q83" s="75">
        <v>0.8484848484848485</v>
      </c>
      <c r="R83" s="75">
        <v>0.4642857142857143</v>
      </c>
      <c r="S83" s="42"/>
      <c r="T83" s="55"/>
      <c r="U83" s="56"/>
      <c r="V83" s="44"/>
      <c r="W83" s="44"/>
      <c r="X83" s="15"/>
    </row>
    <row r="84">
      <c r="A84" s="88" t="s">
        <v>198</v>
      </c>
      <c r="B84" s="57" t="s">
        <v>382</v>
      </c>
      <c r="C84" s="31" t="s">
        <v>46</v>
      </c>
      <c r="D84" s="72">
        <v>8.0</v>
      </c>
      <c r="E84" s="72">
        <v>2.0</v>
      </c>
      <c r="F84" s="84"/>
      <c r="G84" s="72">
        <v>4.0</v>
      </c>
      <c r="H84" s="72">
        <v>6.0</v>
      </c>
      <c r="I84" s="72">
        <v>2.0</v>
      </c>
      <c r="J84" s="86"/>
      <c r="K84" s="86"/>
      <c r="L84" s="86"/>
      <c r="M84" s="75">
        <v>0.3333333333333333</v>
      </c>
      <c r="N84" s="67">
        <v>0.2</v>
      </c>
      <c r="O84" s="77">
        <v>1.5</v>
      </c>
      <c r="P84" s="87"/>
      <c r="Q84" s="75">
        <v>0.5</v>
      </c>
      <c r="R84" s="75">
        <v>0.5</v>
      </c>
      <c r="S84" s="42"/>
      <c r="T84" s="55"/>
      <c r="U84" s="56"/>
      <c r="V84" s="44"/>
      <c r="W84" s="44"/>
      <c r="X84" s="15"/>
    </row>
    <row r="85">
      <c r="A85" s="65" t="s">
        <v>200</v>
      </c>
      <c r="B85" s="57" t="s">
        <v>385</v>
      </c>
      <c r="C85" s="31" t="s">
        <v>46</v>
      </c>
      <c r="D85" s="72">
        <v>50.0</v>
      </c>
      <c r="E85" s="72">
        <v>27.0</v>
      </c>
      <c r="F85" s="84"/>
      <c r="G85" s="72">
        <v>7.0</v>
      </c>
      <c r="H85" s="72">
        <v>88.0</v>
      </c>
      <c r="I85" s="72">
        <v>45.0</v>
      </c>
      <c r="J85" s="86"/>
      <c r="K85" s="86"/>
      <c r="L85" s="86"/>
      <c r="M85" s="75">
        <v>0.5113636363636364</v>
      </c>
      <c r="N85" s="67">
        <v>0.47368421052631576</v>
      </c>
      <c r="O85" s="77">
        <v>2.046511627906977</v>
      </c>
      <c r="P85" s="87"/>
      <c r="Q85" s="75">
        <v>0.86</v>
      </c>
      <c r="R85" s="75">
        <v>0.627906976744186</v>
      </c>
      <c r="S85" s="42"/>
      <c r="T85" s="55"/>
      <c r="U85" s="56"/>
      <c r="V85" s="44"/>
      <c r="W85" s="44"/>
      <c r="X85" s="15"/>
    </row>
    <row r="86">
      <c r="A86" s="65" t="s">
        <v>206</v>
      </c>
      <c r="B86" s="57" t="s">
        <v>390</v>
      </c>
      <c r="C86" s="66" t="s">
        <v>124</v>
      </c>
      <c r="D86" s="72">
        <v>10.0</v>
      </c>
      <c r="E86" s="72">
        <v>2.0</v>
      </c>
      <c r="F86" s="84"/>
      <c r="G86" s="72">
        <v>3.0</v>
      </c>
      <c r="H86" s="72">
        <v>17.0</v>
      </c>
      <c r="I86" s="72">
        <v>10.0</v>
      </c>
      <c r="J86" s="86"/>
      <c r="K86" s="86"/>
      <c r="L86" s="86"/>
      <c r="M86" s="75">
        <v>0.5882352941176471</v>
      </c>
      <c r="N86" s="67">
        <v>0.5</v>
      </c>
      <c r="O86" s="77">
        <v>2.4285714285714284</v>
      </c>
      <c r="P86" s="87"/>
      <c r="Q86" s="75">
        <v>0.7</v>
      </c>
      <c r="R86" s="75">
        <v>0.2857142857142857</v>
      </c>
      <c r="S86" s="42"/>
      <c r="T86" s="55"/>
      <c r="U86" s="56"/>
      <c r="V86" s="44"/>
      <c r="W86" s="44"/>
      <c r="X86" s="15"/>
    </row>
    <row r="87">
      <c r="A87" s="65" t="s">
        <v>207</v>
      </c>
      <c r="B87" s="57" t="s">
        <v>395</v>
      </c>
      <c r="C87" s="66" t="s">
        <v>31</v>
      </c>
      <c r="D87" s="72">
        <v>262.0</v>
      </c>
      <c r="E87" s="72">
        <v>98.0</v>
      </c>
      <c r="F87" s="84"/>
      <c r="G87" s="72">
        <v>87.0</v>
      </c>
      <c r="H87" s="72">
        <v>491.0</v>
      </c>
      <c r="I87" s="72">
        <v>316.0</v>
      </c>
      <c r="J87" s="86"/>
      <c r="K87" s="86"/>
      <c r="L87" s="86"/>
      <c r="M87" s="75">
        <v>0.6435845213849287</v>
      </c>
      <c r="N87" s="67">
        <v>0.5467128027681661</v>
      </c>
      <c r="O87" s="77">
        <v>2.8057142857142856</v>
      </c>
      <c r="P87" s="87"/>
      <c r="Q87" s="75">
        <v>0.6679389312977099</v>
      </c>
      <c r="R87" s="75">
        <v>0.56</v>
      </c>
      <c r="S87" s="42"/>
      <c r="T87" s="55"/>
      <c r="U87" s="88"/>
      <c r="V87" s="44"/>
      <c r="W87" s="44"/>
      <c r="X87" s="15"/>
    </row>
    <row r="88">
      <c r="A88" s="65" t="s">
        <v>209</v>
      </c>
      <c r="B88" s="57" t="s">
        <v>399</v>
      </c>
      <c r="C88" s="31" t="s">
        <v>42</v>
      </c>
      <c r="D88" s="72">
        <v>37.0</v>
      </c>
      <c r="E88" s="72">
        <v>6.0</v>
      </c>
      <c r="F88" s="84"/>
      <c r="G88" s="72">
        <v>15.0</v>
      </c>
      <c r="H88" s="72">
        <v>30.0</v>
      </c>
      <c r="I88" s="72">
        <v>8.0</v>
      </c>
      <c r="J88" s="86"/>
      <c r="K88" s="86"/>
      <c r="L88" s="86"/>
      <c r="M88" s="75">
        <v>0.26666666666666666</v>
      </c>
      <c r="N88" s="67">
        <v>0.17777777777777778</v>
      </c>
      <c r="O88" s="77">
        <v>1.3636363636363635</v>
      </c>
      <c r="P88" s="87"/>
      <c r="Q88" s="75">
        <v>0.5945945945945946</v>
      </c>
      <c r="R88" s="75">
        <v>0.2727272727272727</v>
      </c>
      <c r="S88" s="42"/>
      <c r="T88" s="55"/>
      <c r="U88" s="56"/>
      <c r="V88" s="44"/>
      <c r="W88" s="44"/>
      <c r="X88" s="15"/>
    </row>
    <row r="89">
      <c r="A89" s="65" t="s">
        <v>213</v>
      </c>
      <c r="B89" s="57" t="s">
        <v>403</v>
      </c>
      <c r="C89" s="66" t="s">
        <v>31</v>
      </c>
      <c r="D89" s="72">
        <v>36.0</v>
      </c>
      <c r="E89" s="72">
        <v>11.0</v>
      </c>
      <c r="F89" s="84"/>
      <c r="G89" s="72">
        <v>11.0</v>
      </c>
      <c r="H89" s="72">
        <v>69.0</v>
      </c>
      <c r="I89" s="72">
        <v>44.0</v>
      </c>
      <c r="J89" s="86"/>
      <c r="K89" s="86"/>
      <c r="L89" s="86"/>
      <c r="M89" s="75">
        <v>0.6376811594202898</v>
      </c>
      <c r="N89" s="67">
        <v>0.55</v>
      </c>
      <c r="O89" s="77">
        <v>2.76</v>
      </c>
      <c r="P89" s="87"/>
      <c r="Q89" s="75">
        <v>0.6944444444444444</v>
      </c>
      <c r="R89" s="75">
        <v>0.44</v>
      </c>
      <c r="S89" s="42"/>
      <c r="T89" s="55"/>
      <c r="U89" s="55"/>
      <c r="V89" s="44"/>
      <c r="W89" s="44"/>
      <c r="X89" s="15"/>
    </row>
    <row r="90">
      <c r="A90" s="65" t="s">
        <v>214</v>
      </c>
      <c r="B90" s="57" t="s">
        <v>407</v>
      </c>
      <c r="C90" s="66" t="s">
        <v>33</v>
      </c>
      <c r="D90" s="72">
        <v>50.0</v>
      </c>
      <c r="E90" s="72">
        <v>11.0</v>
      </c>
      <c r="F90" s="84"/>
      <c r="G90" s="72">
        <v>20.0</v>
      </c>
      <c r="H90" s="72">
        <v>71.0</v>
      </c>
      <c r="I90" s="72">
        <v>41.0</v>
      </c>
      <c r="J90" s="86"/>
      <c r="K90" s="86"/>
      <c r="L90" s="86"/>
      <c r="M90" s="75">
        <v>0.5774647887323944</v>
      </c>
      <c r="N90" s="67">
        <v>0.45054945054945056</v>
      </c>
      <c r="O90" s="77">
        <v>2.3666666666666667</v>
      </c>
      <c r="P90" s="87"/>
      <c r="Q90" s="75">
        <v>0.6</v>
      </c>
      <c r="R90" s="75">
        <v>0.36666666666666664</v>
      </c>
      <c r="S90" s="42"/>
      <c r="T90" s="55"/>
      <c r="U90" s="56"/>
      <c r="V90" s="44"/>
      <c r="W90" s="44"/>
      <c r="X90" s="15"/>
    </row>
    <row r="91">
      <c r="A91" s="65" t="s">
        <v>215</v>
      </c>
      <c r="B91" s="57" t="s">
        <v>411</v>
      </c>
      <c r="C91" s="31" t="s">
        <v>42</v>
      </c>
      <c r="D91" s="72">
        <v>33.0</v>
      </c>
      <c r="E91" s="72">
        <v>15.0</v>
      </c>
      <c r="F91" s="84"/>
      <c r="G91" s="72">
        <v>2.0</v>
      </c>
      <c r="H91" s="72">
        <v>153.0</v>
      </c>
      <c r="I91" s="72">
        <v>122.0</v>
      </c>
      <c r="J91" s="86"/>
      <c r="K91" s="86"/>
      <c r="L91" s="86"/>
      <c r="M91" s="75">
        <v>0.7973856209150327</v>
      </c>
      <c r="N91" s="67">
        <v>0.7870967741935484</v>
      </c>
      <c r="O91" s="77">
        <v>4.935483870967742</v>
      </c>
      <c r="P91" s="87"/>
      <c r="Q91" s="75">
        <v>0.9393939393939394</v>
      </c>
      <c r="R91" s="75">
        <v>0.4838709677419355</v>
      </c>
      <c r="S91" s="42"/>
      <c r="T91" s="55"/>
      <c r="U91" s="56"/>
      <c r="V91" s="44"/>
      <c r="W91" s="44"/>
      <c r="X91" s="15"/>
    </row>
    <row r="92">
      <c r="A92" s="88" t="s">
        <v>220</v>
      </c>
      <c r="B92" s="57" t="s">
        <v>415</v>
      </c>
      <c r="C92" s="31" t="s">
        <v>98</v>
      </c>
      <c r="D92" s="72">
        <v>38.0</v>
      </c>
      <c r="E92" s="72">
        <v>6.0</v>
      </c>
      <c r="F92" s="84"/>
      <c r="G92" s="72">
        <v>13.0</v>
      </c>
      <c r="H92" s="72">
        <v>47.0</v>
      </c>
      <c r="I92" s="72">
        <v>22.0</v>
      </c>
      <c r="J92" s="86"/>
      <c r="K92" s="86"/>
      <c r="L92" s="86"/>
      <c r="M92" s="75">
        <v>0.46808510638297873</v>
      </c>
      <c r="N92" s="67">
        <v>0.36666666666666664</v>
      </c>
      <c r="O92" s="77">
        <v>1.88</v>
      </c>
      <c r="P92" s="87"/>
      <c r="Q92" s="75">
        <v>0.6578947368421053</v>
      </c>
      <c r="R92" s="75">
        <v>0.24</v>
      </c>
      <c r="S92" s="42"/>
      <c r="T92" s="55"/>
      <c r="U92" s="56"/>
      <c r="V92" s="44"/>
      <c r="W92" s="44"/>
      <c r="X92" s="15"/>
    </row>
    <row r="93">
      <c r="A93" s="96" t="s">
        <v>222</v>
      </c>
      <c r="B93" s="47" t="s">
        <v>422</v>
      </c>
      <c r="C93" s="31" t="s">
        <v>98</v>
      </c>
      <c r="D93" s="72">
        <v>49.0</v>
      </c>
      <c r="E93" s="72">
        <v>3.0</v>
      </c>
      <c r="F93" s="84"/>
      <c r="G93" s="72">
        <v>38.0</v>
      </c>
      <c r="H93" s="72">
        <v>26.0</v>
      </c>
      <c r="I93" s="72">
        <v>15.0</v>
      </c>
      <c r="J93" s="86"/>
      <c r="K93" s="86"/>
      <c r="L93" s="86"/>
      <c r="M93" s="75">
        <v>0.5769230769230769</v>
      </c>
      <c r="N93" s="67">
        <v>0.234375</v>
      </c>
      <c r="O93" s="77">
        <v>2.3636363636363638</v>
      </c>
      <c r="P93" s="87"/>
      <c r="Q93" s="75">
        <v>0.22448979591836735</v>
      </c>
      <c r="R93" s="75">
        <v>0.2727272727272727</v>
      </c>
      <c r="S93" s="42"/>
      <c r="T93" s="55"/>
      <c r="U93" s="56"/>
      <c r="V93" s="44"/>
      <c r="W93" s="44"/>
      <c r="X93" s="15"/>
    </row>
    <row r="94">
      <c r="A94" s="88" t="s">
        <v>226</v>
      </c>
      <c r="B94" s="47" t="s">
        <v>426</v>
      </c>
      <c r="C94" s="66" t="s">
        <v>26</v>
      </c>
      <c r="D94" s="72">
        <v>18.0</v>
      </c>
      <c r="E94" s="72">
        <v>4.0</v>
      </c>
      <c r="F94" s="84"/>
      <c r="G94" s="72">
        <v>6.0</v>
      </c>
      <c r="H94" s="72">
        <v>22.0</v>
      </c>
      <c r="I94" s="72">
        <v>10.0</v>
      </c>
      <c r="J94" s="86"/>
      <c r="K94" s="86"/>
      <c r="L94" s="86"/>
      <c r="M94" s="75">
        <v>0.45454545454545453</v>
      </c>
      <c r="N94" s="67">
        <v>0.35714285714285715</v>
      </c>
      <c r="O94" s="77">
        <v>1.8333333333333333</v>
      </c>
      <c r="P94" s="87"/>
      <c r="Q94" s="75">
        <v>0.6666666666666666</v>
      </c>
      <c r="R94" s="75">
        <v>0.3333333333333333</v>
      </c>
      <c r="S94" s="42"/>
      <c r="T94" s="55"/>
      <c r="U94" s="56"/>
      <c r="V94" s="44"/>
      <c r="W94" s="44"/>
      <c r="X94" s="15"/>
    </row>
    <row r="95">
      <c r="A95" s="65" t="s">
        <v>233</v>
      </c>
      <c r="B95" s="57" t="s">
        <v>429</v>
      </c>
      <c r="C95" s="66" t="s">
        <v>33</v>
      </c>
      <c r="D95" s="72">
        <v>40.0</v>
      </c>
      <c r="E95" s="72">
        <v>23.0</v>
      </c>
      <c r="F95" s="84"/>
      <c r="G95" s="72">
        <v>3.0</v>
      </c>
      <c r="H95" s="72">
        <v>106.0</v>
      </c>
      <c r="I95" s="72">
        <v>69.0</v>
      </c>
      <c r="J95" s="86"/>
      <c r="K95" s="86"/>
      <c r="L95" s="86"/>
      <c r="M95" s="75">
        <v>0.6509433962264151</v>
      </c>
      <c r="N95" s="67">
        <v>0.6330275229357798</v>
      </c>
      <c r="O95" s="77">
        <v>2.864864864864865</v>
      </c>
      <c r="P95" s="87"/>
      <c r="Q95" s="75">
        <v>0.925</v>
      </c>
      <c r="R95" s="75">
        <v>0.6216216216216216</v>
      </c>
      <c r="S95" s="42"/>
      <c r="T95" s="55"/>
      <c r="U95" s="56"/>
      <c r="V95" s="44"/>
      <c r="W95" s="44"/>
      <c r="X95" s="15"/>
    </row>
    <row r="96">
      <c r="A96" s="65" t="s">
        <v>243</v>
      </c>
      <c r="B96" s="57" t="s">
        <v>433</v>
      </c>
      <c r="C96" s="66" t="s">
        <v>31</v>
      </c>
      <c r="D96" s="72">
        <v>5.0</v>
      </c>
      <c r="E96" s="72">
        <v>1.0</v>
      </c>
      <c r="F96" s="84"/>
      <c r="G96" s="72">
        <v>3.0</v>
      </c>
      <c r="H96" s="72">
        <v>4.0</v>
      </c>
      <c r="I96" s="72">
        <v>2.0</v>
      </c>
      <c r="J96" s="86"/>
      <c r="K96" s="86"/>
      <c r="L96" s="86"/>
      <c r="M96" s="75">
        <v>0.5</v>
      </c>
      <c r="N96" s="67">
        <v>0.2857142857142857</v>
      </c>
      <c r="O96" s="77">
        <v>2.0</v>
      </c>
      <c r="P96" s="87"/>
      <c r="Q96" s="75">
        <v>0.4</v>
      </c>
      <c r="R96" s="75">
        <v>0.5</v>
      </c>
      <c r="S96" s="42"/>
      <c r="T96" s="55"/>
      <c r="U96" s="56"/>
      <c r="V96" s="44"/>
      <c r="W96" s="44"/>
      <c r="X96" s="15"/>
    </row>
    <row r="97">
      <c r="A97" s="65" t="s">
        <v>247</v>
      </c>
      <c r="B97" s="47" t="s">
        <v>438</v>
      </c>
      <c r="C97" s="66" t="s">
        <v>33</v>
      </c>
      <c r="D97" s="72">
        <v>113.0</v>
      </c>
      <c r="E97" s="72">
        <v>22.0</v>
      </c>
      <c r="F97" s="84"/>
      <c r="G97" s="72">
        <v>64.0</v>
      </c>
      <c r="H97" s="72">
        <v>167.0</v>
      </c>
      <c r="I97" s="72">
        <v>118.0</v>
      </c>
      <c r="J97" s="86"/>
      <c r="K97" s="86"/>
      <c r="L97" s="86"/>
      <c r="M97" s="75">
        <v>0.7065868263473054</v>
      </c>
      <c r="N97" s="67">
        <v>0.5108225108225108</v>
      </c>
      <c r="O97" s="77">
        <v>3.4081632653061225</v>
      </c>
      <c r="P97" s="87"/>
      <c r="Q97" s="75">
        <v>0.4336283185840708</v>
      </c>
      <c r="R97" s="75">
        <v>0.4489795918367347</v>
      </c>
      <c r="S97" s="42"/>
      <c r="T97" s="55"/>
      <c r="U97" s="56"/>
      <c r="V97" s="44"/>
      <c r="W97" s="44"/>
      <c r="X97" s="15"/>
    </row>
    <row r="98">
      <c r="A98" s="65" t="s">
        <v>256</v>
      </c>
      <c r="B98" s="57" t="s">
        <v>444</v>
      </c>
      <c r="C98" s="66" t="s">
        <v>31</v>
      </c>
      <c r="D98" s="72">
        <v>37.0</v>
      </c>
      <c r="E98" s="72">
        <v>9.0</v>
      </c>
      <c r="F98" s="84"/>
      <c r="G98" s="72">
        <v>15.0</v>
      </c>
      <c r="H98" s="72">
        <v>39.0</v>
      </c>
      <c r="I98" s="72">
        <v>17.0</v>
      </c>
      <c r="J98" s="86"/>
      <c r="K98" s="86"/>
      <c r="L98" s="86"/>
      <c r="M98" s="75">
        <v>0.4358974358974359</v>
      </c>
      <c r="N98" s="67">
        <v>0.3148148148148148</v>
      </c>
      <c r="O98" s="77">
        <v>1.7727272727272727</v>
      </c>
      <c r="P98" s="87"/>
      <c r="Q98" s="75">
        <v>0.5945945945945946</v>
      </c>
      <c r="R98" s="75">
        <v>0.4090909090909091</v>
      </c>
      <c r="S98" s="42"/>
      <c r="T98" s="55"/>
      <c r="U98" s="56"/>
      <c r="V98" s="44"/>
      <c r="W98" s="44"/>
      <c r="X98" s="15"/>
    </row>
    <row r="99">
      <c r="A99" s="65" t="s">
        <v>258</v>
      </c>
      <c r="B99" s="57" t="s">
        <v>450</v>
      </c>
      <c r="C99" s="66" t="s">
        <v>31</v>
      </c>
      <c r="D99" s="72">
        <v>100.0</v>
      </c>
      <c r="E99" s="72">
        <v>20.0</v>
      </c>
      <c r="F99" s="84"/>
      <c r="G99" s="72">
        <v>52.0</v>
      </c>
      <c r="H99" s="72">
        <v>90.0</v>
      </c>
      <c r="I99" s="72">
        <v>42.0</v>
      </c>
      <c r="J99" s="86"/>
      <c r="K99" s="86"/>
      <c r="L99" s="86"/>
      <c r="M99" s="75">
        <v>0.4666666666666667</v>
      </c>
      <c r="N99" s="67">
        <v>0.29577464788732394</v>
      </c>
      <c r="O99" s="77">
        <v>1.875</v>
      </c>
      <c r="P99" s="87"/>
      <c r="Q99" s="75">
        <v>0.48</v>
      </c>
      <c r="R99" s="75">
        <v>0.4166666666666667</v>
      </c>
      <c r="S99" s="42"/>
      <c r="T99" s="55"/>
      <c r="U99" s="56"/>
      <c r="V99" s="44"/>
      <c r="W99" s="44"/>
      <c r="X99" s="15"/>
    </row>
    <row r="100">
      <c r="A100" s="65" t="s">
        <v>266</v>
      </c>
      <c r="B100" s="57" t="s">
        <v>452</v>
      </c>
      <c r="C100" s="31" t="s">
        <v>98</v>
      </c>
      <c r="D100" s="72">
        <v>165.0</v>
      </c>
      <c r="E100" s="72">
        <v>61.0</v>
      </c>
      <c r="F100" s="84"/>
      <c r="G100" s="72">
        <v>51.0</v>
      </c>
      <c r="H100" s="72">
        <v>258.0</v>
      </c>
      <c r="I100" s="72">
        <v>144.0</v>
      </c>
      <c r="J100" s="86"/>
      <c r="K100" s="86"/>
      <c r="L100" s="86"/>
      <c r="M100" s="75">
        <v>0.5581395348837209</v>
      </c>
      <c r="N100" s="67">
        <v>0.46601941747572817</v>
      </c>
      <c r="O100" s="77">
        <v>2.263157894736842</v>
      </c>
      <c r="P100" s="87"/>
      <c r="Q100" s="75">
        <v>0.6909090909090909</v>
      </c>
      <c r="R100" s="75">
        <v>0.5350877192982456</v>
      </c>
      <c r="S100" s="42"/>
      <c r="T100" s="55"/>
      <c r="U100" s="56"/>
      <c r="V100" s="44"/>
      <c r="W100" s="44"/>
      <c r="X100" s="15"/>
    </row>
    <row r="101">
      <c r="A101" s="88" t="s">
        <v>267</v>
      </c>
      <c r="B101" s="57" t="s">
        <v>455</v>
      </c>
      <c r="C101" s="66" t="s">
        <v>124</v>
      </c>
      <c r="D101" s="72">
        <v>5.0</v>
      </c>
      <c r="E101" s="72">
        <v>1.0</v>
      </c>
      <c r="F101" s="84"/>
      <c r="G101" s="72">
        <v>2.0</v>
      </c>
      <c r="H101" s="72">
        <v>4.0</v>
      </c>
      <c r="I101" s="72">
        <v>1.0</v>
      </c>
      <c r="J101" s="86"/>
      <c r="K101" s="86"/>
      <c r="L101" s="86"/>
      <c r="M101" s="75">
        <v>0.25</v>
      </c>
      <c r="N101" s="67">
        <v>0.16666666666666666</v>
      </c>
      <c r="O101" s="77">
        <v>1.3333333333333333</v>
      </c>
      <c r="P101" s="87"/>
      <c r="Q101" s="75">
        <v>0.6</v>
      </c>
      <c r="R101" s="75">
        <v>0.3333333333333333</v>
      </c>
      <c r="S101" s="42"/>
      <c r="T101" s="55"/>
      <c r="U101" s="56"/>
      <c r="V101" s="44"/>
      <c r="W101" s="44"/>
      <c r="X101" s="15"/>
    </row>
    <row r="102">
      <c r="A102" s="88" t="s">
        <v>269</v>
      </c>
      <c r="B102" s="57" t="s">
        <v>459</v>
      </c>
      <c r="C102" s="31" t="s">
        <v>42</v>
      </c>
      <c r="D102" s="72">
        <v>63.0</v>
      </c>
      <c r="E102" s="72">
        <v>11.0</v>
      </c>
      <c r="F102" s="84"/>
      <c r="G102" s="72">
        <v>28.0</v>
      </c>
      <c r="H102" s="72">
        <v>67.0</v>
      </c>
      <c r="I102" s="72">
        <v>32.0</v>
      </c>
      <c r="J102" s="86"/>
      <c r="K102" s="86"/>
      <c r="L102" s="86"/>
      <c r="M102" s="75">
        <v>0.47761194029850745</v>
      </c>
      <c r="N102" s="67">
        <v>0.3368421052631579</v>
      </c>
      <c r="O102" s="77">
        <v>1.9142857142857144</v>
      </c>
      <c r="P102" s="87"/>
      <c r="Q102" s="75">
        <v>0.5555555555555556</v>
      </c>
      <c r="R102" s="75">
        <v>0.3142857142857143</v>
      </c>
      <c r="S102" s="42"/>
      <c r="T102" s="55"/>
      <c r="U102" s="56"/>
      <c r="V102" s="44"/>
      <c r="W102" s="44"/>
      <c r="X102" s="15"/>
    </row>
    <row r="103">
      <c r="A103" s="65" t="s">
        <v>272</v>
      </c>
      <c r="B103" s="57" t="s">
        <v>463</v>
      </c>
      <c r="C103" s="31" t="s">
        <v>98</v>
      </c>
      <c r="D103" s="72">
        <v>37.0</v>
      </c>
      <c r="E103" s="72">
        <v>17.0</v>
      </c>
      <c r="F103" s="84"/>
      <c r="G103" s="72">
        <v>9.0</v>
      </c>
      <c r="H103" s="72">
        <v>113.0</v>
      </c>
      <c r="I103" s="72">
        <v>85.0</v>
      </c>
      <c r="J103" s="86"/>
      <c r="K103" s="86"/>
      <c r="L103" s="86"/>
      <c r="M103" s="75">
        <v>0.7522123893805309</v>
      </c>
      <c r="N103" s="67">
        <v>0.6967213114754098</v>
      </c>
      <c r="O103" s="77">
        <v>4.035714285714286</v>
      </c>
      <c r="P103" s="87"/>
      <c r="Q103" s="75">
        <v>0.7567567567567568</v>
      </c>
      <c r="R103" s="75">
        <v>0.6071428571428571</v>
      </c>
      <c r="S103" s="42"/>
      <c r="T103" s="55"/>
      <c r="U103" s="56"/>
      <c r="V103" s="44"/>
      <c r="W103" s="44"/>
      <c r="X103" s="15"/>
    </row>
    <row r="104">
      <c r="A104" s="65" t="s">
        <v>275</v>
      </c>
      <c r="B104" s="57" t="s">
        <v>467</v>
      </c>
      <c r="C104" s="66" t="s">
        <v>26</v>
      </c>
      <c r="D104" s="72">
        <v>23.0</v>
      </c>
      <c r="E104" s="72">
        <v>10.0</v>
      </c>
      <c r="F104" s="84"/>
      <c r="G104" s="72">
        <v>2.0</v>
      </c>
      <c r="H104" s="72">
        <v>59.0</v>
      </c>
      <c r="I104" s="72">
        <v>38.0</v>
      </c>
      <c r="J104" s="86"/>
      <c r="K104" s="86"/>
      <c r="L104" s="86"/>
      <c r="M104" s="75">
        <v>0.6440677966101694</v>
      </c>
      <c r="N104" s="67">
        <v>0.6229508196721312</v>
      </c>
      <c r="O104" s="77">
        <v>2.8095238095238093</v>
      </c>
      <c r="P104" s="87"/>
      <c r="Q104" s="75">
        <v>0.9130434782608695</v>
      </c>
      <c r="R104" s="75">
        <v>0.47619047619047616</v>
      </c>
      <c r="S104" s="42"/>
      <c r="T104" s="55"/>
      <c r="U104" s="56"/>
      <c r="V104" s="44"/>
      <c r="W104" s="44"/>
      <c r="X104" s="15"/>
    </row>
    <row r="105">
      <c r="A105" s="88" t="s">
        <v>276</v>
      </c>
      <c r="B105" s="57" t="s">
        <v>468</v>
      </c>
      <c r="C105" s="66" t="s">
        <v>26</v>
      </c>
      <c r="D105" s="72">
        <v>93.0</v>
      </c>
      <c r="E105" s="72">
        <v>20.0</v>
      </c>
      <c r="F105" s="84"/>
      <c r="G105" s="72">
        <v>41.0</v>
      </c>
      <c r="H105" s="72">
        <v>134.0</v>
      </c>
      <c r="I105" s="72">
        <v>82.0</v>
      </c>
      <c r="J105" s="86"/>
      <c r="K105" s="86"/>
      <c r="L105" s="86"/>
      <c r="M105" s="75">
        <v>0.6119402985074627</v>
      </c>
      <c r="N105" s="67">
        <v>0.4685714285714286</v>
      </c>
      <c r="O105" s="77">
        <v>2.576923076923077</v>
      </c>
      <c r="P105" s="87"/>
      <c r="Q105" s="75">
        <v>0.5591397849462365</v>
      </c>
      <c r="R105" s="75">
        <v>0.38461538461538464</v>
      </c>
      <c r="S105" s="42"/>
      <c r="T105" s="55"/>
      <c r="U105" s="56"/>
      <c r="V105" s="44"/>
      <c r="W105" s="44"/>
      <c r="X105" s="15"/>
    </row>
    <row r="106">
      <c r="A106" s="65" t="s">
        <v>278</v>
      </c>
      <c r="B106" s="47" t="s">
        <v>472</v>
      </c>
      <c r="C106" s="31" t="s">
        <v>42</v>
      </c>
      <c r="D106" s="72">
        <v>125.0</v>
      </c>
      <c r="E106" s="72">
        <v>40.0</v>
      </c>
      <c r="F106" s="84"/>
      <c r="G106" s="72">
        <v>42.0</v>
      </c>
      <c r="H106" s="72">
        <v>299.0</v>
      </c>
      <c r="I106" s="72">
        <v>216.0</v>
      </c>
      <c r="J106" s="86"/>
      <c r="K106" s="86"/>
      <c r="L106" s="86"/>
      <c r="M106" s="75">
        <v>0.7224080267558528</v>
      </c>
      <c r="N106" s="67">
        <v>0.6334310850439883</v>
      </c>
      <c r="O106" s="77">
        <v>3.602409638554217</v>
      </c>
      <c r="P106" s="87"/>
      <c r="Q106" s="75">
        <v>0.664</v>
      </c>
      <c r="R106" s="75">
        <v>0.4819277108433735</v>
      </c>
      <c r="S106" s="42"/>
      <c r="T106" s="55"/>
      <c r="U106" s="27"/>
      <c r="V106" s="44"/>
      <c r="W106" s="44"/>
      <c r="X106" s="15"/>
    </row>
    <row r="107">
      <c r="A107" s="65" t="s">
        <v>288</v>
      </c>
      <c r="B107" s="47" t="s">
        <v>476</v>
      </c>
      <c r="C107" s="31" t="s">
        <v>98</v>
      </c>
      <c r="D107" s="72">
        <v>302.0</v>
      </c>
      <c r="E107" s="72">
        <v>163.0</v>
      </c>
      <c r="F107" s="84"/>
      <c r="G107" s="72">
        <v>113.0</v>
      </c>
      <c r="H107" s="72">
        <v>760.0</v>
      </c>
      <c r="I107" s="72">
        <v>571.0</v>
      </c>
      <c r="J107" s="86"/>
      <c r="K107" s="86"/>
      <c r="L107" s="86"/>
      <c r="M107" s="75">
        <v>0.7513157894736842</v>
      </c>
      <c r="N107" s="67">
        <v>0.6540664375715922</v>
      </c>
      <c r="O107" s="77">
        <v>4.021164021164021</v>
      </c>
      <c r="P107" s="87"/>
      <c r="Q107" s="75">
        <v>0.6258278145695364</v>
      </c>
      <c r="R107" s="75">
        <v>0.8624338624338624</v>
      </c>
      <c r="S107" s="42"/>
      <c r="T107" s="55"/>
      <c r="U107" s="56"/>
      <c r="V107" s="44"/>
      <c r="W107" s="44"/>
      <c r="X107" s="15"/>
    </row>
    <row r="108">
      <c r="A108" s="88" t="s">
        <v>289</v>
      </c>
      <c r="B108" s="47" t="s">
        <v>362</v>
      </c>
      <c r="C108" s="31" t="s">
        <v>42</v>
      </c>
      <c r="D108" s="72">
        <v>25.0</v>
      </c>
      <c r="E108" s="72">
        <v>6.0</v>
      </c>
      <c r="F108" s="84"/>
      <c r="G108" s="72">
        <v>11.0</v>
      </c>
      <c r="H108" s="72">
        <v>24.0</v>
      </c>
      <c r="I108" s="72">
        <v>10.0</v>
      </c>
      <c r="J108" s="86"/>
      <c r="K108" s="86"/>
      <c r="L108" s="86"/>
      <c r="M108" s="75">
        <v>0.4166666666666667</v>
      </c>
      <c r="N108" s="67">
        <v>0.2857142857142857</v>
      </c>
      <c r="O108" s="77">
        <v>1.7142857142857142</v>
      </c>
      <c r="P108" s="87"/>
      <c r="Q108" s="75">
        <v>0.56</v>
      </c>
      <c r="R108" s="75">
        <v>0.42857142857142855</v>
      </c>
      <c r="S108" s="42"/>
      <c r="T108" s="55"/>
      <c r="U108" s="56"/>
      <c r="V108" s="44"/>
      <c r="W108" s="44"/>
      <c r="X108" s="15"/>
    </row>
    <row r="109">
      <c r="A109" s="27" t="s">
        <v>290</v>
      </c>
      <c r="B109" s="47" t="s">
        <v>481</v>
      </c>
      <c r="C109" s="31" t="s">
        <v>98</v>
      </c>
      <c r="D109" s="48">
        <v>25.0</v>
      </c>
      <c r="E109" s="48">
        <v>9.0</v>
      </c>
      <c r="F109" s="84"/>
      <c r="G109" s="48">
        <v>6.0</v>
      </c>
      <c r="H109" s="48">
        <v>33.0</v>
      </c>
      <c r="I109" s="48">
        <v>14.0</v>
      </c>
      <c r="J109" s="86"/>
      <c r="K109" s="86"/>
      <c r="L109" s="86"/>
      <c r="M109" s="37">
        <v>0.42424242424242425</v>
      </c>
      <c r="N109" s="38">
        <v>0.358974358974359</v>
      </c>
      <c r="O109" s="39">
        <v>1.736842105263158</v>
      </c>
      <c r="P109" s="87"/>
      <c r="Q109" s="37">
        <v>0.76</v>
      </c>
      <c r="R109" s="37">
        <v>0.47368421052631576</v>
      </c>
      <c r="S109" s="42"/>
      <c r="T109" s="55"/>
      <c r="U109" s="56"/>
      <c r="V109" s="44"/>
      <c r="W109" s="44"/>
      <c r="X109" s="15"/>
    </row>
    <row r="110">
      <c r="A110" s="65" t="s">
        <v>294</v>
      </c>
      <c r="B110" s="47" t="s">
        <v>485</v>
      </c>
      <c r="C110" s="31" t="s">
        <v>98</v>
      </c>
      <c r="D110" s="72">
        <v>49.0</v>
      </c>
      <c r="E110" s="72">
        <v>11.0</v>
      </c>
      <c r="F110" s="84"/>
      <c r="G110" s="72">
        <v>18.0</v>
      </c>
      <c r="H110" s="72">
        <v>58.0</v>
      </c>
      <c r="I110" s="72">
        <v>27.0</v>
      </c>
      <c r="J110" s="86"/>
      <c r="K110" s="86"/>
      <c r="L110" s="86"/>
      <c r="M110" s="75">
        <v>0.46551724137931033</v>
      </c>
      <c r="N110" s="67">
        <v>0.35526315789473684</v>
      </c>
      <c r="O110" s="77">
        <v>1.8709677419354838</v>
      </c>
      <c r="P110" s="87"/>
      <c r="Q110" s="75">
        <v>0.6326530612244898</v>
      </c>
      <c r="R110" s="75">
        <v>0.3548387096774194</v>
      </c>
      <c r="S110" s="42"/>
      <c r="T110" s="55"/>
      <c r="U110" s="56"/>
      <c r="V110" s="44"/>
      <c r="W110" s="44"/>
      <c r="X110" s="15"/>
    </row>
    <row r="111">
      <c r="A111" s="65" t="s">
        <v>299</v>
      </c>
      <c r="B111" s="57" t="s">
        <v>488</v>
      </c>
      <c r="C111" s="66" t="s">
        <v>33</v>
      </c>
      <c r="D111" s="72">
        <v>23.0</v>
      </c>
      <c r="E111" s="72">
        <v>8.0</v>
      </c>
      <c r="F111" s="84"/>
      <c r="G111" s="72">
        <v>5.0</v>
      </c>
      <c r="H111" s="72">
        <v>86.0</v>
      </c>
      <c r="I111" s="72">
        <v>68.0</v>
      </c>
      <c r="J111" s="86"/>
      <c r="K111" s="86"/>
      <c r="L111" s="86"/>
      <c r="M111" s="75">
        <v>0.7906976744186046</v>
      </c>
      <c r="N111" s="67">
        <v>0.7472527472527473</v>
      </c>
      <c r="O111" s="77">
        <v>4.777777777777778</v>
      </c>
      <c r="P111" s="87"/>
      <c r="Q111" s="75">
        <v>0.782608695652174</v>
      </c>
      <c r="R111" s="75">
        <v>0.4444444444444444</v>
      </c>
      <c r="S111" s="42"/>
      <c r="T111" s="55"/>
      <c r="U111" s="56"/>
      <c r="V111" s="44"/>
      <c r="W111" s="44"/>
      <c r="X111" s="15"/>
    </row>
    <row r="112">
      <c r="A112" s="65" t="s">
        <v>302</v>
      </c>
      <c r="B112" s="47" t="s">
        <v>362</v>
      </c>
      <c r="C112" s="66" t="s">
        <v>26</v>
      </c>
      <c r="D112" s="72">
        <v>11.0</v>
      </c>
      <c r="E112" s="72">
        <v>1.0</v>
      </c>
      <c r="F112" s="84"/>
      <c r="G112" s="72">
        <v>10.0</v>
      </c>
      <c r="H112" s="72">
        <v>3.0</v>
      </c>
      <c r="I112" s="72">
        <v>2.0</v>
      </c>
      <c r="J112" s="86"/>
      <c r="K112" s="86"/>
      <c r="L112" s="86"/>
      <c r="M112" s="75">
        <v>0.6666666666666666</v>
      </c>
      <c r="N112" s="67">
        <v>0.15384615384615385</v>
      </c>
      <c r="O112" s="77">
        <v>3.0</v>
      </c>
      <c r="P112" s="87"/>
      <c r="Q112" s="75">
        <v>0.09090909090909091</v>
      </c>
      <c r="R112" s="75">
        <v>1.0</v>
      </c>
      <c r="S112" s="42"/>
      <c r="T112" s="55"/>
      <c r="U112" s="56"/>
      <c r="V112" s="44"/>
      <c r="W112" s="44"/>
      <c r="X112" s="15"/>
    </row>
    <row r="113">
      <c r="A113" s="65" t="s">
        <v>307</v>
      </c>
      <c r="B113" s="57" t="s">
        <v>493</v>
      </c>
      <c r="C113" s="31" t="s">
        <v>98</v>
      </c>
      <c r="D113" s="72">
        <v>10.0</v>
      </c>
      <c r="E113" s="72">
        <v>1.0</v>
      </c>
      <c r="F113" s="84"/>
      <c r="G113" s="72">
        <v>1.0</v>
      </c>
      <c r="H113" s="72">
        <v>14.0</v>
      </c>
      <c r="I113" s="72">
        <v>5.0</v>
      </c>
      <c r="J113" s="86"/>
      <c r="K113" s="86"/>
      <c r="L113" s="86"/>
      <c r="M113" s="75">
        <v>0.35714285714285715</v>
      </c>
      <c r="N113" s="67">
        <v>0.3333333333333333</v>
      </c>
      <c r="O113" s="77">
        <v>1.5555555555555556</v>
      </c>
      <c r="P113" s="87"/>
      <c r="Q113" s="75">
        <v>0.9</v>
      </c>
      <c r="R113" s="75">
        <v>0.1111111111111111</v>
      </c>
      <c r="S113" s="42"/>
      <c r="T113" s="55"/>
      <c r="U113" s="56"/>
      <c r="V113" s="44"/>
      <c r="W113" s="44"/>
      <c r="X113" s="15"/>
    </row>
    <row r="114">
      <c r="A114" s="65" t="s">
        <v>310</v>
      </c>
      <c r="B114" s="47" t="s">
        <v>496</v>
      </c>
      <c r="C114" s="31" t="s">
        <v>42</v>
      </c>
      <c r="D114" s="72">
        <v>19.0</v>
      </c>
      <c r="E114" s="72">
        <v>3.0</v>
      </c>
      <c r="F114" s="84"/>
      <c r="G114" s="72">
        <v>1.0</v>
      </c>
      <c r="H114" s="72">
        <v>25.0</v>
      </c>
      <c r="I114" s="72">
        <v>7.0</v>
      </c>
      <c r="J114" s="86"/>
      <c r="K114" s="86"/>
      <c r="L114" s="86"/>
      <c r="M114" s="75">
        <v>0.28</v>
      </c>
      <c r="N114" s="67">
        <v>0.2692307692307692</v>
      </c>
      <c r="O114" s="77">
        <v>1.3888888888888888</v>
      </c>
      <c r="P114" s="87"/>
      <c r="Q114" s="75">
        <v>0.9473684210526315</v>
      </c>
      <c r="R114" s="75">
        <v>0.16666666666666666</v>
      </c>
      <c r="S114" s="42"/>
      <c r="T114" s="55"/>
      <c r="U114" s="56"/>
      <c r="V114" s="44"/>
      <c r="W114" s="44"/>
      <c r="X114" s="15"/>
    </row>
    <row r="115">
      <c r="A115" s="65" t="s">
        <v>311</v>
      </c>
      <c r="B115" s="57" t="s">
        <v>500</v>
      </c>
      <c r="C115" s="31" t="s">
        <v>42</v>
      </c>
      <c r="D115" s="72">
        <v>45.0</v>
      </c>
      <c r="E115" s="72">
        <v>19.0</v>
      </c>
      <c r="F115" s="84"/>
      <c r="G115" s="72">
        <v>12.0</v>
      </c>
      <c r="H115" s="72">
        <v>101.0</v>
      </c>
      <c r="I115" s="72">
        <v>68.0</v>
      </c>
      <c r="J115" s="86"/>
      <c r="K115" s="86"/>
      <c r="L115" s="86"/>
      <c r="M115" s="75">
        <v>0.6732673267326733</v>
      </c>
      <c r="N115" s="67">
        <v>0.6017699115044248</v>
      </c>
      <c r="O115" s="77">
        <v>3.0606060606060606</v>
      </c>
      <c r="P115" s="87"/>
      <c r="Q115" s="75">
        <v>0.7333333333333333</v>
      </c>
      <c r="R115" s="75">
        <v>0.5757575757575758</v>
      </c>
      <c r="S115" s="42"/>
      <c r="T115" s="55"/>
      <c r="U115" s="56"/>
      <c r="V115" s="44"/>
      <c r="W115" s="44"/>
      <c r="X115" s="15"/>
    </row>
    <row r="116">
      <c r="A116" s="96" t="s">
        <v>317</v>
      </c>
      <c r="B116" s="57" t="s">
        <v>502</v>
      </c>
      <c r="C116" s="66" t="s">
        <v>26</v>
      </c>
      <c r="D116" s="72">
        <v>332.0</v>
      </c>
      <c r="E116" s="72">
        <v>60.0</v>
      </c>
      <c r="F116" s="84"/>
      <c r="G116" s="72">
        <v>136.0</v>
      </c>
      <c r="H116" s="72">
        <v>755.0</v>
      </c>
      <c r="I116" s="72">
        <v>559.0</v>
      </c>
      <c r="J116" s="86"/>
      <c r="K116" s="86"/>
      <c r="L116" s="86"/>
      <c r="M116" s="75">
        <v>0.7403973509933774</v>
      </c>
      <c r="N116" s="67">
        <v>0.6273849607182941</v>
      </c>
      <c r="O116" s="77">
        <v>3.8520408163265305</v>
      </c>
      <c r="P116" s="87"/>
      <c r="Q116" s="75">
        <v>0.5903614457831325</v>
      </c>
      <c r="R116" s="75">
        <v>0.30612244897959184</v>
      </c>
      <c r="S116" s="42"/>
      <c r="T116" s="55"/>
      <c r="U116" s="56"/>
      <c r="V116" s="44"/>
      <c r="W116" s="44"/>
      <c r="X116" s="15"/>
    </row>
    <row r="117">
      <c r="A117" s="88" t="s">
        <v>318</v>
      </c>
      <c r="B117" s="47" t="s">
        <v>362</v>
      </c>
      <c r="C117" s="66" t="s">
        <v>31</v>
      </c>
      <c r="D117" s="72">
        <v>12.0</v>
      </c>
      <c r="E117" s="72">
        <v>1.0</v>
      </c>
      <c r="F117" s="84"/>
      <c r="G117" s="72">
        <v>6.0</v>
      </c>
      <c r="H117" s="72">
        <v>12.0</v>
      </c>
      <c r="I117" s="72">
        <v>6.0</v>
      </c>
      <c r="J117" s="86"/>
      <c r="K117" s="86"/>
      <c r="L117" s="86"/>
      <c r="M117" s="75">
        <v>0.5</v>
      </c>
      <c r="N117" s="67">
        <v>0.3333333333333333</v>
      </c>
      <c r="O117" s="77">
        <v>2.0</v>
      </c>
      <c r="P117" s="87"/>
      <c r="Q117" s="75">
        <v>0.5</v>
      </c>
      <c r="R117" s="75">
        <v>0.16666666666666666</v>
      </c>
      <c r="S117" s="42"/>
      <c r="T117" s="55"/>
      <c r="U117" s="56"/>
      <c r="V117" s="44"/>
      <c r="W117" s="44"/>
      <c r="X117" s="15"/>
    </row>
    <row r="118">
      <c r="A118" s="65" t="s">
        <v>324</v>
      </c>
      <c r="B118" s="57" t="s">
        <v>508</v>
      </c>
      <c r="C118" s="31" t="s">
        <v>98</v>
      </c>
      <c r="D118" s="72">
        <v>18.0</v>
      </c>
      <c r="E118" s="72">
        <v>2.0</v>
      </c>
      <c r="F118" s="84"/>
      <c r="G118" s="72">
        <v>9.0</v>
      </c>
      <c r="H118" s="72">
        <v>15.0</v>
      </c>
      <c r="I118" s="72">
        <v>6.0</v>
      </c>
      <c r="J118" s="86"/>
      <c r="K118" s="86"/>
      <c r="L118" s="86"/>
      <c r="M118" s="75">
        <v>0.4</v>
      </c>
      <c r="N118" s="67">
        <v>0.25</v>
      </c>
      <c r="O118" s="77">
        <v>1.6666666666666667</v>
      </c>
      <c r="P118" s="87"/>
      <c r="Q118" s="75">
        <v>0.5</v>
      </c>
      <c r="R118" s="75">
        <v>0.2222222222222222</v>
      </c>
      <c r="S118" s="42"/>
      <c r="T118" s="55"/>
      <c r="U118" s="56"/>
      <c r="V118" s="44"/>
      <c r="W118" s="44"/>
      <c r="X118" s="15"/>
    </row>
    <row r="119">
      <c r="A119" s="65" t="s">
        <v>325</v>
      </c>
      <c r="B119" s="57" t="s">
        <v>511</v>
      </c>
      <c r="C119" s="31" t="s">
        <v>98</v>
      </c>
      <c r="D119" s="72">
        <v>29.0</v>
      </c>
      <c r="E119" s="72">
        <v>5.0</v>
      </c>
      <c r="F119" s="84"/>
      <c r="G119" s="72">
        <v>17.0</v>
      </c>
      <c r="H119" s="72">
        <v>32.0</v>
      </c>
      <c r="I119" s="72">
        <v>20.0</v>
      </c>
      <c r="J119" s="86"/>
      <c r="K119" s="86"/>
      <c r="L119" s="86"/>
      <c r="M119" s="75">
        <v>0.625</v>
      </c>
      <c r="N119" s="67">
        <v>0.40816326530612246</v>
      </c>
      <c r="O119" s="77">
        <v>2.6666666666666665</v>
      </c>
      <c r="P119" s="87"/>
      <c r="Q119" s="75">
        <v>0.41379310344827586</v>
      </c>
      <c r="R119" s="75">
        <v>0.4166666666666667</v>
      </c>
      <c r="S119" s="42"/>
      <c r="T119" s="55"/>
      <c r="U119" s="88"/>
      <c r="V119" s="44"/>
      <c r="W119" s="44"/>
      <c r="X119" s="15"/>
    </row>
    <row r="120">
      <c r="A120" s="65" t="s">
        <v>330</v>
      </c>
      <c r="B120" s="47" t="s">
        <v>515</v>
      </c>
      <c r="C120" s="66" t="s">
        <v>33</v>
      </c>
      <c r="D120" s="72">
        <v>10.0</v>
      </c>
      <c r="E120" s="72">
        <v>5.0</v>
      </c>
      <c r="F120" s="84"/>
      <c r="G120" s="72">
        <v>1.0</v>
      </c>
      <c r="H120" s="72">
        <v>21.0</v>
      </c>
      <c r="I120" s="72">
        <v>12.0</v>
      </c>
      <c r="J120" s="86"/>
      <c r="K120" s="86"/>
      <c r="L120" s="86"/>
      <c r="M120" s="75">
        <v>0.5714285714285714</v>
      </c>
      <c r="N120" s="67">
        <v>0.5454545454545454</v>
      </c>
      <c r="O120" s="77">
        <v>2.3333333333333335</v>
      </c>
      <c r="P120" s="87"/>
      <c r="Q120" s="75">
        <v>0.9</v>
      </c>
      <c r="R120" s="75">
        <v>0.5555555555555556</v>
      </c>
      <c r="S120" s="42"/>
      <c r="T120" s="55"/>
      <c r="U120" s="56"/>
      <c r="V120" s="44"/>
      <c r="W120" s="44"/>
      <c r="X120" s="15"/>
    </row>
    <row r="121">
      <c r="A121" s="65" t="s">
        <v>332</v>
      </c>
      <c r="B121" s="47" t="s">
        <v>362</v>
      </c>
      <c r="C121" s="66" t="s">
        <v>124</v>
      </c>
      <c r="D121" s="72">
        <v>35.0</v>
      </c>
      <c r="E121" s="72">
        <v>22.0</v>
      </c>
      <c r="F121" s="84"/>
      <c r="G121" s="72">
        <v>1.0</v>
      </c>
      <c r="H121" s="72">
        <v>95.0</v>
      </c>
      <c r="I121" s="72">
        <v>61.0</v>
      </c>
      <c r="J121" s="86"/>
      <c r="K121" s="86"/>
      <c r="L121" s="86"/>
      <c r="M121" s="75">
        <v>0.6421052631578947</v>
      </c>
      <c r="N121" s="67">
        <v>0.6354166666666666</v>
      </c>
      <c r="O121" s="77">
        <v>2.7941176470588234</v>
      </c>
      <c r="P121" s="87"/>
      <c r="Q121" s="75">
        <v>0.9714285714285714</v>
      </c>
      <c r="R121" s="75">
        <v>0.6470588235294118</v>
      </c>
      <c r="S121" s="42"/>
      <c r="T121" s="55"/>
      <c r="U121" s="56"/>
      <c r="V121" s="44"/>
      <c r="W121" s="44"/>
      <c r="X121" s="15"/>
    </row>
    <row r="122">
      <c r="A122" s="65" t="s">
        <v>334</v>
      </c>
      <c r="B122" s="57" t="s">
        <v>521</v>
      </c>
      <c r="C122" s="66" t="s">
        <v>31</v>
      </c>
      <c r="D122" s="72">
        <v>24.0</v>
      </c>
      <c r="E122" s="72">
        <v>11.0</v>
      </c>
      <c r="F122" s="84"/>
      <c r="G122" s="72">
        <v>6.0</v>
      </c>
      <c r="H122" s="72">
        <v>40.0</v>
      </c>
      <c r="I122" s="72">
        <v>22.0</v>
      </c>
      <c r="J122" s="86"/>
      <c r="K122" s="86"/>
      <c r="L122" s="86"/>
      <c r="M122" s="75">
        <v>0.55</v>
      </c>
      <c r="N122" s="67">
        <v>0.4782608695652174</v>
      </c>
      <c r="O122" s="77">
        <v>2.2222222222222223</v>
      </c>
      <c r="P122" s="87"/>
      <c r="Q122" s="75">
        <v>0.75</v>
      </c>
      <c r="R122" s="75">
        <v>0.6111111111111112</v>
      </c>
      <c r="S122" s="42"/>
      <c r="T122" s="55"/>
      <c r="U122" s="56"/>
      <c r="V122" s="44"/>
      <c r="W122" s="44"/>
      <c r="X122" s="15"/>
    </row>
    <row r="123">
      <c r="A123" s="65" t="s">
        <v>339</v>
      </c>
      <c r="B123" s="57" t="s">
        <v>525</v>
      </c>
      <c r="C123" s="66" t="s">
        <v>31</v>
      </c>
      <c r="D123" s="72">
        <v>36.0</v>
      </c>
      <c r="E123" s="72">
        <v>16.0</v>
      </c>
      <c r="F123" s="84"/>
      <c r="G123" s="72">
        <v>4.0</v>
      </c>
      <c r="H123" s="72">
        <v>66.0</v>
      </c>
      <c r="I123" s="72">
        <v>34.0</v>
      </c>
      <c r="J123" s="86"/>
      <c r="K123" s="86"/>
      <c r="L123" s="86"/>
      <c r="M123" s="75">
        <v>0.5151515151515151</v>
      </c>
      <c r="N123" s="67">
        <v>0.4857142857142857</v>
      </c>
      <c r="O123" s="77">
        <v>2.0625</v>
      </c>
      <c r="P123" s="87"/>
      <c r="Q123" s="75">
        <v>0.8888888888888888</v>
      </c>
      <c r="R123" s="75">
        <v>0.5</v>
      </c>
      <c r="S123" s="42"/>
      <c r="T123" s="55"/>
      <c r="U123" s="56"/>
      <c r="V123" s="44"/>
      <c r="W123" s="44"/>
      <c r="X123" s="15"/>
    </row>
    <row r="124">
      <c r="A124" s="65" t="s">
        <v>341</v>
      </c>
      <c r="B124" s="57" t="s">
        <v>527</v>
      </c>
      <c r="C124" s="31" t="s">
        <v>42</v>
      </c>
      <c r="D124" s="72">
        <v>2.0</v>
      </c>
      <c r="E124" s="72">
        <v>0.0</v>
      </c>
      <c r="F124" s="84"/>
      <c r="G124" s="72">
        <v>0.0</v>
      </c>
      <c r="H124" s="72">
        <v>2.0</v>
      </c>
      <c r="I124" s="72">
        <v>0.0</v>
      </c>
      <c r="J124" s="86"/>
      <c r="K124" s="86"/>
      <c r="L124" s="86"/>
      <c r="M124" s="75">
        <v>0.0</v>
      </c>
      <c r="N124" s="67">
        <v>0.0</v>
      </c>
      <c r="O124" s="77">
        <v>1.0</v>
      </c>
      <c r="P124" s="87"/>
      <c r="Q124" s="75">
        <v>1.0</v>
      </c>
      <c r="R124" s="75">
        <v>0.0</v>
      </c>
      <c r="S124" s="42"/>
      <c r="T124" s="55"/>
      <c r="U124" s="56"/>
      <c r="V124" s="44"/>
      <c r="W124" s="44"/>
      <c r="X124" s="15"/>
    </row>
    <row r="125">
      <c r="A125" s="65" t="s">
        <v>344</v>
      </c>
      <c r="B125" s="57" t="s">
        <v>531</v>
      </c>
      <c r="C125" s="31" t="s">
        <v>42</v>
      </c>
      <c r="D125" s="72">
        <v>8.0</v>
      </c>
      <c r="E125" s="72">
        <v>3.0</v>
      </c>
      <c r="F125" s="84"/>
      <c r="G125" s="72">
        <v>0.0</v>
      </c>
      <c r="H125" s="72">
        <v>17.0</v>
      </c>
      <c r="I125" s="72">
        <v>9.0</v>
      </c>
      <c r="J125" s="86"/>
      <c r="K125" s="86"/>
      <c r="L125" s="86"/>
      <c r="M125" s="75">
        <v>0.5294117647058824</v>
      </c>
      <c r="N125" s="67">
        <v>0.5294117647058824</v>
      </c>
      <c r="O125" s="77">
        <v>2.125</v>
      </c>
      <c r="P125" s="87"/>
      <c r="Q125" s="75">
        <v>1.0</v>
      </c>
      <c r="R125" s="75">
        <v>0.375</v>
      </c>
      <c r="S125" s="42"/>
      <c r="T125" s="55"/>
      <c r="U125" s="56"/>
      <c r="V125" s="44"/>
      <c r="W125" s="44"/>
      <c r="X125" s="15"/>
    </row>
    <row r="126">
      <c r="A126" s="27" t="s">
        <v>348</v>
      </c>
      <c r="B126" s="29" t="s">
        <v>534</v>
      </c>
      <c r="C126" s="31" t="s">
        <v>98</v>
      </c>
      <c r="D126" s="32">
        <v>112.0</v>
      </c>
      <c r="E126" s="32">
        <v>31.0</v>
      </c>
      <c r="F126" s="34">
        <v>50.0</v>
      </c>
      <c r="G126" s="32">
        <v>31.0</v>
      </c>
      <c r="H126" s="32">
        <v>219.0</v>
      </c>
      <c r="I126" s="32">
        <v>138.0</v>
      </c>
      <c r="J126" s="36">
        <v>0.2768</v>
      </c>
      <c r="K126" s="36">
        <v>0.4464</v>
      </c>
      <c r="L126" s="36">
        <v>0.2768</v>
      </c>
      <c r="M126" s="37">
        <v>0.6753</v>
      </c>
      <c r="N126" s="38">
        <v>0.6301</v>
      </c>
      <c r="O126" s="39">
        <v>2.7</v>
      </c>
      <c r="P126" s="41">
        <v>1.96</v>
      </c>
      <c r="Q126" s="37">
        <v>0.7232</v>
      </c>
      <c r="R126" s="37">
        <v>0.3827</v>
      </c>
      <c r="S126" s="42"/>
      <c r="T126" s="55"/>
      <c r="U126" s="56"/>
      <c r="V126" s="44"/>
      <c r="W126" s="44"/>
      <c r="X126" s="15"/>
    </row>
    <row r="127">
      <c r="A127" s="65" t="s">
        <v>350</v>
      </c>
      <c r="B127" s="47" t="s">
        <v>362</v>
      </c>
      <c r="C127" s="66" t="s">
        <v>33</v>
      </c>
      <c r="D127" s="72">
        <v>16.0</v>
      </c>
      <c r="E127" s="72">
        <v>5.0</v>
      </c>
      <c r="F127" s="84"/>
      <c r="G127" s="72">
        <v>5.0</v>
      </c>
      <c r="H127" s="72">
        <v>29.0</v>
      </c>
      <c r="I127" s="72">
        <v>18.0</v>
      </c>
      <c r="J127" s="86"/>
      <c r="K127" s="86"/>
      <c r="L127" s="86"/>
      <c r="M127" s="75">
        <v>0.6206896551724138</v>
      </c>
      <c r="N127" s="67">
        <v>0.5294117647058824</v>
      </c>
      <c r="O127" s="77">
        <v>2.6363636363636362</v>
      </c>
      <c r="P127" s="87"/>
      <c r="Q127" s="75">
        <v>0.6875</v>
      </c>
      <c r="R127" s="75">
        <v>0.45454545454545453</v>
      </c>
      <c r="S127" s="42"/>
      <c r="T127" s="55"/>
      <c r="U127" s="56"/>
      <c r="V127" s="44"/>
      <c r="W127" s="44"/>
      <c r="X127" s="15"/>
    </row>
    <row r="128">
      <c r="A128" s="65" t="s">
        <v>351</v>
      </c>
      <c r="B128" s="57" t="s">
        <v>540</v>
      </c>
      <c r="C128" s="31" t="s">
        <v>42</v>
      </c>
      <c r="D128" s="72">
        <v>89.0</v>
      </c>
      <c r="E128" s="72">
        <v>34.0</v>
      </c>
      <c r="F128" s="84"/>
      <c r="G128" s="72">
        <v>25.0</v>
      </c>
      <c r="H128" s="72">
        <v>130.0</v>
      </c>
      <c r="I128" s="72">
        <v>66.0</v>
      </c>
      <c r="J128" s="86"/>
      <c r="K128" s="86"/>
      <c r="L128" s="86"/>
      <c r="M128" s="75">
        <v>0.5076923076923077</v>
      </c>
      <c r="N128" s="67">
        <v>0.4258064516129032</v>
      </c>
      <c r="O128" s="77">
        <v>2.03125</v>
      </c>
      <c r="P128" s="87"/>
      <c r="Q128" s="75">
        <v>0.7191011235955056</v>
      </c>
      <c r="R128" s="75">
        <v>0.53125</v>
      </c>
      <c r="S128" s="42"/>
      <c r="T128" s="55"/>
      <c r="U128" s="56"/>
      <c r="V128" s="44"/>
      <c r="W128" s="44"/>
      <c r="X128" s="15"/>
    </row>
    <row r="129">
      <c r="A129" s="65" t="s">
        <v>353</v>
      </c>
      <c r="B129" s="57" t="s">
        <v>544</v>
      </c>
      <c r="C129" s="31" t="s">
        <v>98</v>
      </c>
      <c r="D129" s="72">
        <v>33.0</v>
      </c>
      <c r="E129" s="72">
        <v>4.0</v>
      </c>
      <c r="F129" s="84"/>
      <c r="G129" s="72">
        <v>12.0</v>
      </c>
      <c r="H129" s="72">
        <v>28.0</v>
      </c>
      <c r="I129" s="72">
        <v>7.0</v>
      </c>
      <c r="J129" s="86"/>
      <c r="K129" s="86"/>
      <c r="L129" s="86"/>
      <c r="M129" s="75">
        <v>0.25</v>
      </c>
      <c r="N129" s="67">
        <v>0.175</v>
      </c>
      <c r="O129" s="77">
        <v>1.3333333333333333</v>
      </c>
      <c r="P129" s="87"/>
      <c r="Q129" s="75">
        <v>0.6363636363636364</v>
      </c>
      <c r="R129" s="75">
        <v>0.19047619047619047</v>
      </c>
      <c r="S129" s="42"/>
      <c r="T129" s="55"/>
      <c r="U129" s="56"/>
      <c r="V129" s="44"/>
      <c r="W129" s="44"/>
      <c r="X129" s="15"/>
    </row>
    <row r="130">
      <c r="A130" s="65" t="s">
        <v>354</v>
      </c>
      <c r="B130" s="57" t="s">
        <v>546</v>
      </c>
      <c r="C130" s="66" t="s">
        <v>33</v>
      </c>
      <c r="D130" s="72">
        <v>24.0</v>
      </c>
      <c r="E130" s="72">
        <v>5.0</v>
      </c>
      <c r="F130" s="84"/>
      <c r="G130" s="72">
        <v>7.0</v>
      </c>
      <c r="H130" s="72">
        <v>26.0</v>
      </c>
      <c r="I130" s="72">
        <v>9.0</v>
      </c>
      <c r="J130" s="86"/>
      <c r="K130" s="86"/>
      <c r="L130" s="86"/>
      <c r="M130" s="75">
        <v>0.34615384615384615</v>
      </c>
      <c r="N130" s="67">
        <v>0.2727272727272727</v>
      </c>
      <c r="O130" s="77">
        <v>1.5294117647058822</v>
      </c>
      <c r="P130" s="87"/>
      <c r="Q130" s="75">
        <v>0.7083333333333334</v>
      </c>
      <c r="R130" s="75">
        <v>0.29411764705882354</v>
      </c>
      <c r="S130" s="42"/>
      <c r="T130" s="55"/>
      <c r="U130" s="56"/>
      <c r="V130" s="44"/>
      <c r="W130" s="44"/>
      <c r="X130" s="15"/>
    </row>
    <row r="131">
      <c r="A131" s="65" t="s">
        <v>365</v>
      </c>
      <c r="B131" s="47" t="s">
        <v>550</v>
      </c>
      <c r="C131" s="66" t="s">
        <v>26</v>
      </c>
      <c r="D131" s="72">
        <v>200.0</v>
      </c>
      <c r="E131" s="72">
        <v>28.0</v>
      </c>
      <c r="F131" s="84"/>
      <c r="G131" s="72">
        <v>114.0</v>
      </c>
      <c r="H131" s="72">
        <v>130.0</v>
      </c>
      <c r="I131" s="72">
        <v>44.0</v>
      </c>
      <c r="J131" s="86"/>
      <c r="K131" s="86"/>
      <c r="L131" s="86"/>
      <c r="M131" s="75">
        <v>0.3384615384615385</v>
      </c>
      <c r="N131" s="67">
        <v>0.18032786885245902</v>
      </c>
      <c r="O131" s="77">
        <v>1.5116279069767442</v>
      </c>
      <c r="P131" s="87"/>
      <c r="Q131" s="75">
        <v>0.43</v>
      </c>
      <c r="R131" s="75">
        <v>0.32558139534883723</v>
      </c>
      <c r="S131" s="42"/>
      <c r="T131" s="55"/>
      <c r="U131" s="56"/>
      <c r="V131" s="44"/>
      <c r="W131" s="44"/>
      <c r="X131" s="15"/>
    </row>
    <row r="132">
      <c r="A132" s="88" t="s">
        <v>367</v>
      </c>
      <c r="B132" s="47" t="s">
        <v>362</v>
      </c>
      <c r="C132" s="66" t="s">
        <v>26</v>
      </c>
      <c r="D132" s="72">
        <v>40.0</v>
      </c>
      <c r="E132" s="72">
        <v>2.0</v>
      </c>
      <c r="F132" s="84"/>
      <c r="G132" s="72">
        <v>14.0</v>
      </c>
      <c r="H132" s="72">
        <v>29.0</v>
      </c>
      <c r="I132" s="72">
        <v>3.0</v>
      </c>
      <c r="J132" s="86"/>
      <c r="K132" s="86"/>
      <c r="L132" s="86"/>
      <c r="M132" s="75">
        <v>0.10344827586206896</v>
      </c>
      <c r="N132" s="67">
        <v>0.06976744186046512</v>
      </c>
      <c r="O132" s="77">
        <v>1.1153846153846154</v>
      </c>
      <c r="P132" s="87"/>
      <c r="Q132" s="75">
        <v>0.65</v>
      </c>
      <c r="R132" s="75">
        <v>0.07692307692307693</v>
      </c>
      <c r="S132" s="42"/>
      <c r="T132" s="55"/>
      <c r="U132" s="56"/>
      <c r="V132" s="44"/>
      <c r="W132" s="44"/>
      <c r="X132" s="15"/>
    </row>
    <row r="133">
      <c r="A133" s="65" t="s">
        <v>372</v>
      </c>
      <c r="B133" s="47" t="s">
        <v>362</v>
      </c>
      <c r="C133" s="66" t="s">
        <v>31</v>
      </c>
      <c r="D133" s="72">
        <v>189.0</v>
      </c>
      <c r="E133" s="72">
        <v>51.0</v>
      </c>
      <c r="F133" s="84"/>
      <c r="G133" s="72">
        <v>41.0</v>
      </c>
      <c r="H133" s="72">
        <v>233.0</v>
      </c>
      <c r="I133" s="72">
        <v>85.0</v>
      </c>
      <c r="J133" s="86"/>
      <c r="K133" s="86"/>
      <c r="L133" s="86"/>
      <c r="M133" s="75">
        <v>0.3648068669527897</v>
      </c>
      <c r="N133" s="67">
        <v>0.3102189781021898</v>
      </c>
      <c r="O133" s="77">
        <v>1.5743243243243243</v>
      </c>
      <c r="P133" s="87"/>
      <c r="Q133" s="75">
        <v>0.783068783068783</v>
      </c>
      <c r="R133" s="75">
        <v>0.34459459459459457</v>
      </c>
      <c r="S133" s="42"/>
      <c r="T133" s="55"/>
      <c r="U133" s="56"/>
      <c r="V133" s="44"/>
      <c r="W133" s="44"/>
      <c r="X133" s="15"/>
    </row>
    <row r="134">
      <c r="A134" s="65" t="s">
        <v>373</v>
      </c>
      <c r="B134" s="57" t="s">
        <v>560</v>
      </c>
      <c r="C134" s="66" t="s">
        <v>124</v>
      </c>
      <c r="D134" s="72">
        <v>17.0</v>
      </c>
      <c r="E134" s="72">
        <v>4.0</v>
      </c>
      <c r="F134" s="84"/>
      <c r="G134" s="72">
        <v>10.0</v>
      </c>
      <c r="H134" s="72">
        <v>13.0</v>
      </c>
      <c r="I134" s="72">
        <v>6.0</v>
      </c>
      <c r="J134" s="86"/>
      <c r="K134" s="86"/>
      <c r="L134" s="86"/>
      <c r="M134" s="75">
        <v>0.46153846153846156</v>
      </c>
      <c r="N134" s="67">
        <v>0.2608695652173913</v>
      </c>
      <c r="O134" s="77">
        <v>1.8571428571428572</v>
      </c>
      <c r="P134" s="87"/>
      <c r="Q134" s="75">
        <v>0.4117647058823529</v>
      </c>
      <c r="R134" s="75">
        <v>0.5714285714285714</v>
      </c>
      <c r="S134" s="42"/>
      <c r="T134" s="55"/>
      <c r="U134" s="56"/>
      <c r="V134" s="44"/>
      <c r="W134" s="44"/>
      <c r="X134" s="15"/>
    </row>
    <row r="135">
      <c r="A135" s="88" t="s">
        <v>375</v>
      </c>
      <c r="B135" s="57" t="s">
        <v>564</v>
      </c>
      <c r="C135" s="66" t="s">
        <v>26</v>
      </c>
      <c r="D135" s="72">
        <v>22.0</v>
      </c>
      <c r="E135" s="72">
        <v>6.0</v>
      </c>
      <c r="F135" s="84"/>
      <c r="G135" s="72">
        <v>10.0</v>
      </c>
      <c r="H135" s="72">
        <v>30.0</v>
      </c>
      <c r="I135" s="72">
        <v>18.0</v>
      </c>
      <c r="J135" s="86"/>
      <c r="K135" s="86"/>
      <c r="L135" s="86"/>
      <c r="M135" s="75">
        <v>0.6</v>
      </c>
      <c r="N135" s="67">
        <v>0.45</v>
      </c>
      <c r="O135" s="77">
        <v>2.5</v>
      </c>
      <c r="P135" s="87"/>
      <c r="Q135" s="75">
        <v>0.5454545454545454</v>
      </c>
      <c r="R135" s="75">
        <v>0.5</v>
      </c>
      <c r="S135" s="42"/>
      <c r="T135" s="55"/>
      <c r="U135" s="56"/>
      <c r="V135" s="44"/>
      <c r="W135" s="44"/>
      <c r="X135" s="15"/>
    </row>
    <row r="136">
      <c r="A136" s="88" t="s">
        <v>379</v>
      </c>
      <c r="B136" s="57" t="s">
        <v>567</v>
      </c>
      <c r="C136" s="66" t="s">
        <v>31</v>
      </c>
      <c r="D136" s="72">
        <v>60.0</v>
      </c>
      <c r="E136" s="72">
        <v>17.0</v>
      </c>
      <c r="F136" s="84"/>
      <c r="G136" s="72">
        <v>23.0</v>
      </c>
      <c r="H136" s="72">
        <v>58.0</v>
      </c>
      <c r="I136" s="72">
        <v>21.0</v>
      </c>
      <c r="J136" s="86"/>
      <c r="K136" s="86"/>
      <c r="L136" s="86"/>
      <c r="M136" s="75">
        <v>0.3620689655172414</v>
      </c>
      <c r="N136" s="67">
        <v>0.25925925925925924</v>
      </c>
      <c r="O136" s="77">
        <v>1.5675675675675675</v>
      </c>
      <c r="P136" s="87"/>
      <c r="Q136" s="75">
        <v>0.6166666666666667</v>
      </c>
      <c r="R136" s="75">
        <v>0.4594594594594595</v>
      </c>
      <c r="S136" s="42"/>
      <c r="T136" s="55"/>
      <c r="U136" s="56"/>
      <c r="V136" s="44"/>
      <c r="W136" s="44"/>
      <c r="X136" s="15"/>
    </row>
    <row r="137">
      <c r="A137" s="65" t="s">
        <v>389</v>
      </c>
      <c r="B137" s="57" t="s">
        <v>572</v>
      </c>
      <c r="C137" s="66" t="s">
        <v>31</v>
      </c>
      <c r="D137" s="72">
        <v>17.0</v>
      </c>
      <c r="E137" s="72">
        <v>3.0</v>
      </c>
      <c r="F137" s="84"/>
      <c r="G137" s="72">
        <v>5.0</v>
      </c>
      <c r="H137" s="72">
        <v>15.0</v>
      </c>
      <c r="I137" s="72">
        <v>3.0</v>
      </c>
      <c r="J137" s="86"/>
      <c r="K137" s="86"/>
      <c r="L137" s="86"/>
      <c r="M137" s="75">
        <v>0.2</v>
      </c>
      <c r="N137" s="67">
        <v>0.15</v>
      </c>
      <c r="O137" s="77">
        <v>1.25</v>
      </c>
      <c r="P137" s="87"/>
      <c r="Q137" s="75">
        <v>0.7058823529411765</v>
      </c>
      <c r="R137" s="75">
        <v>0.25</v>
      </c>
      <c r="S137" s="42"/>
      <c r="T137" s="55"/>
      <c r="U137" s="56"/>
      <c r="V137" s="44"/>
      <c r="W137" s="44"/>
      <c r="X137" s="15"/>
    </row>
    <row r="138">
      <c r="A138" s="65" t="s">
        <v>391</v>
      </c>
      <c r="B138" s="57" t="s">
        <v>577</v>
      </c>
      <c r="C138" s="66" t="s">
        <v>31</v>
      </c>
      <c r="D138" s="72">
        <v>21.0</v>
      </c>
      <c r="E138" s="72">
        <v>8.0</v>
      </c>
      <c r="F138" s="84"/>
      <c r="G138" s="72">
        <v>2.0</v>
      </c>
      <c r="H138" s="72">
        <v>31.0</v>
      </c>
      <c r="I138" s="72">
        <v>12.0</v>
      </c>
      <c r="J138" s="86"/>
      <c r="K138" s="86"/>
      <c r="L138" s="86"/>
      <c r="M138" s="75">
        <v>0.3870967741935484</v>
      </c>
      <c r="N138" s="67">
        <v>0.36363636363636365</v>
      </c>
      <c r="O138" s="77">
        <v>1.631578947368421</v>
      </c>
      <c r="P138" s="87"/>
      <c r="Q138" s="75">
        <v>0.9047619047619048</v>
      </c>
      <c r="R138" s="75">
        <v>0.42105263157894735</v>
      </c>
      <c r="S138" s="42"/>
      <c r="T138" s="55"/>
      <c r="U138" s="56"/>
      <c r="V138" s="44"/>
      <c r="W138" s="44"/>
      <c r="X138" s="15"/>
    </row>
    <row r="139">
      <c r="A139" s="65" t="s">
        <v>394</v>
      </c>
      <c r="B139" s="57" t="s">
        <v>580</v>
      </c>
      <c r="C139" s="31" t="s">
        <v>98</v>
      </c>
      <c r="D139" s="72">
        <v>52.0</v>
      </c>
      <c r="E139" s="72">
        <v>26.0</v>
      </c>
      <c r="F139" s="84"/>
      <c r="G139" s="72">
        <v>19.0</v>
      </c>
      <c r="H139" s="72">
        <v>361.0</v>
      </c>
      <c r="I139" s="72">
        <v>328.0</v>
      </c>
      <c r="J139" s="86"/>
      <c r="K139" s="86"/>
      <c r="L139" s="86"/>
      <c r="M139" s="75">
        <v>0.9085872576177285</v>
      </c>
      <c r="N139" s="67">
        <v>0.8631578947368421</v>
      </c>
      <c r="O139" s="77">
        <v>10.93939393939394</v>
      </c>
      <c r="P139" s="87"/>
      <c r="Q139" s="75">
        <v>0.6346153846153846</v>
      </c>
      <c r="R139" s="75">
        <v>0.7878787878787878</v>
      </c>
      <c r="S139" s="42"/>
      <c r="T139" s="55"/>
      <c r="U139" s="56"/>
      <c r="V139" s="44"/>
      <c r="W139" s="44"/>
      <c r="X139" s="15"/>
    </row>
    <row r="140">
      <c r="A140" s="65" t="s">
        <v>406</v>
      </c>
      <c r="B140" s="57" t="s">
        <v>583</v>
      </c>
      <c r="C140" s="31" t="s">
        <v>46</v>
      </c>
      <c r="D140" s="72">
        <v>18.0</v>
      </c>
      <c r="E140" s="72">
        <v>7.0</v>
      </c>
      <c r="F140" s="84"/>
      <c r="G140" s="72">
        <v>6.0</v>
      </c>
      <c r="H140" s="72">
        <v>26.0</v>
      </c>
      <c r="I140" s="72">
        <v>14.0</v>
      </c>
      <c r="J140" s="86"/>
      <c r="K140" s="86"/>
      <c r="L140" s="86"/>
      <c r="M140" s="75">
        <v>0.5384615384615384</v>
      </c>
      <c r="N140" s="67">
        <v>0.4375</v>
      </c>
      <c r="O140" s="77">
        <v>2.1666666666666665</v>
      </c>
      <c r="P140" s="87"/>
      <c r="Q140" s="75">
        <v>0.6666666666666666</v>
      </c>
      <c r="R140" s="75">
        <v>0.5833333333333334</v>
      </c>
      <c r="S140" s="42"/>
      <c r="T140" s="55"/>
      <c r="U140" s="56"/>
      <c r="V140" s="44"/>
      <c r="W140" s="44"/>
      <c r="X140" s="15"/>
    </row>
    <row r="141">
      <c r="A141" s="65" t="s">
        <v>410</v>
      </c>
      <c r="B141" s="57" t="s">
        <v>587</v>
      </c>
      <c r="C141" s="66" t="s">
        <v>26</v>
      </c>
      <c r="D141" s="72">
        <v>41.0</v>
      </c>
      <c r="E141" s="72">
        <v>11.0</v>
      </c>
      <c r="F141" s="84"/>
      <c r="G141" s="72">
        <v>13.0</v>
      </c>
      <c r="H141" s="72">
        <v>53.0</v>
      </c>
      <c r="I141" s="72">
        <v>25.0</v>
      </c>
      <c r="J141" s="86"/>
      <c r="K141" s="86"/>
      <c r="L141" s="86"/>
      <c r="M141" s="75">
        <v>0.4716981132075472</v>
      </c>
      <c r="N141" s="67">
        <v>0.3787878787878788</v>
      </c>
      <c r="O141" s="77">
        <v>1.8928571428571428</v>
      </c>
      <c r="P141" s="87"/>
      <c r="Q141" s="75">
        <v>0.6829268292682927</v>
      </c>
      <c r="R141" s="75">
        <v>0.39285714285714285</v>
      </c>
      <c r="S141" s="42"/>
      <c r="T141" s="55"/>
      <c r="U141" s="56"/>
      <c r="V141" s="44"/>
      <c r="W141" s="44"/>
      <c r="X141" s="15"/>
    </row>
    <row r="142">
      <c r="A142" s="65" t="s">
        <v>424</v>
      </c>
      <c r="B142" s="57" t="s">
        <v>592</v>
      </c>
      <c r="C142" s="66" t="s">
        <v>26</v>
      </c>
      <c r="D142" s="72">
        <v>98.0</v>
      </c>
      <c r="E142" s="72">
        <v>9.0</v>
      </c>
      <c r="F142" s="84"/>
      <c r="G142" s="72">
        <v>48.0</v>
      </c>
      <c r="H142" s="72">
        <v>83.0</v>
      </c>
      <c r="I142" s="72">
        <v>33.0</v>
      </c>
      <c r="J142" s="86"/>
      <c r="K142" s="86"/>
      <c r="L142" s="86"/>
      <c r="M142" s="75">
        <v>0.39759036144578314</v>
      </c>
      <c r="N142" s="67">
        <v>0.25190839694656486</v>
      </c>
      <c r="O142" s="77">
        <v>1.66</v>
      </c>
      <c r="P142" s="87"/>
      <c r="Q142" s="75">
        <v>0.5102040816326531</v>
      </c>
      <c r="R142" s="75">
        <v>0.18</v>
      </c>
      <c r="S142" s="42"/>
      <c r="T142" s="55"/>
      <c r="U142" s="56"/>
      <c r="V142" s="44"/>
      <c r="W142" s="44"/>
      <c r="X142" s="15"/>
    </row>
    <row r="143">
      <c r="A143" s="65" t="s">
        <v>425</v>
      </c>
      <c r="B143" s="47" t="s">
        <v>597</v>
      </c>
      <c r="C143" s="66" t="s">
        <v>26</v>
      </c>
      <c r="D143" s="72">
        <v>111.0</v>
      </c>
      <c r="E143" s="72">
        <v>28.0</v>
      </c>
      <c r="F143" s="84"/>
      <c r="G143" s="72">
        <v>33.0</v>
      </c>
      <c r="H143" s="72">
        <v>152.0</v>
      </c>
      <c r="I143" s="72">
        <v>74.0</v>
      </c>
      <c r="J143" s="86"/>
      <c r="K143" s="86"/>
      <c r="L143" s="86"/>
      <c r="M143" s="75">
        <v>0.4868421052631579</v>
      </c>
      <c r="N143" s="67">
        <v>0.4</v>
      </c>
      <c r="O143" s="77">
        <v>1.9487179487179487</v>
      </c>
      <c r="P143" s="87"/>
      <c r="Q143" s="75">
        <v>0.7027027027027027</v>
      </c>
      <c r="R143" s="75">
        <v>0.358974358974359</v>
      </c>
      <c r="S143" s="42"/>
      <c r="T143" s="55"/>
      <c r="U143" s="56"/>
      <c r="V143" s="44"/>
      <c r="W143" s="44"/>
      <c r="X143" s="15"/>
    </row>
    <row r="144">
      <c r="A144" s="65" t="s">
        <v>430</v>
      </c>
      <c r="B144" s="57" t="s">
        <v>602</v>
      </c>
      <c r="C144" s="66" t="s">
        <v>31</v>
      </c>
      <c r="D144" s="72">
        <v>47.0</v>
      </c>
      <c r="E144" s="72">
        <v>13.0</v>
      </c>
      <c r="F144" s="84"/>
      <c r="G144" s="72">
        <v>24.0</v>
      </c>
      <c r="H144" s="72">
        <v>96.0</v>
      </c>
      <c r="I144" s="72">
        <v>73.0</v>
      </c>
      <c r="J144" s="86"/>
      <c r="K144" s="86"/>
      <c r="L144" s="86"/>
      <c r="M144" s="75">
        <v>0.7604166666666666</v>
      </c>
      <c r="N144" s="67">
        <v>0.6083333333333333</v>
      </c>
      <c r="O144" s="77">
        <v>4.173913043478261</v>
      </c>
      <c r="P144" s="87"/>
      <c r="Q144" s="75">
        <v>0.48936170212765956</v>
      </c>
      <c r="R144" s="75">
        <v>0.5652173913043478</v>
      </c>
      <c r="S144" s="42"/>
      <c r="T144" s="55"/>
      <c r="U144" s="56"/>
      <c r="V144" s="44"/>
      <c r="W144" s="44"/>
      <c r="X144" s="15"/>
    </row>
    <row r="145">
      <c r="A145" s="65" t="s">
        <v>439</v>
      </c>
      <c r="B145" s="57" t="s">
        <v>606</v>
      </c>
      <c r="C145" s="31" t="s">
        <v>46</v>
      </c>
      <c r="D145" s="72">
        <v>123.0</v>
      </c>
      <c r="E145" s="72">
        <v>30.0</v>
      </c>
      <c r="F145" s="84"/>
      <c r="G145" s="72">
        <v>30.0</v>
      </c>
      <c r="H145" s="72">
        <v>200.0</v>
      </c>
      <c r="I145" s="72">
        <v>107.0</v>
      </c>
      <c r="J145" s="86"/>
      <c r="K145" s="86"/>
      <c r="L145" s="86"/>
      <c r="M145" s="75">
        <v>0.535</v>
      </c>
      <c r="N145" s="67">
        <v>0.4652173913043478</v>
      </c>
      <c r="O145" s="77">
        <v>2.150537634408602</v>
      </c>
      <c r="P145" s="87"/>
      <c r="Q145" s="75">
        <v>0.7560975609756098</v>
      </c>
      <c r="R145" s="75">
        <v>0.3225806451612903</v>
      </c>
      <c r="S145" s="42"/>
      <c r="T145" s="55"/>
      <c r="U145" s="56"/>
      <c r="V145" s="44"/>
      <c r="W145" s="44"/>
      <c r="X145" s="15"/>
    </row>
    <row r="146">
      <c r="A146" s="65" t="s">
        <v>441</v>
      </c>
      <c r="B146" s="57" t="s">
        <v>611</v>
      </c>
      <c r="C146" s="66" t="s">
        <v>26</v>
      </c>
      <c r="D146" s="72">
        <v>238.0</v>
      </c>
      <c r="E146" s="72">
        <v>20.0</v>
      </c>
      <c r="F146" s="84"/>
      <c r="G146" s="72">
        <v>144.0</v>
      </c>
      <c r="H146" s="72">
        <v>122.0</v>
      </c>
      <c r="I146" s="72">
        <v>28.0</v>
      </c>
      <c r="J146" s="86"/>
      <c r="K146" s="86"/>
      <c r="L146" s="86"/>
      <c r="M146" s="75">
        <v>0.22950819672131148</v>
      </c>
      <c r="N146" s="67">
        <v>0.10526315789473684</v>
      </c>
      <c r="O146" s="77">
        <v>1.297872340425532</v>
      </c>
      <c r="P146" s="87"/>
      <c r="Q146" s="75">
        <v>0.3949579831932773</v>
      </c>
      <c r="R146" s="75">
        <v>0.2127659574468085</v>
      </c>
      <c r="S146" s="42"/>
      <c r="T146" s="55"/>
      <c r="U146" s="56"/>
      <c r="V146" s="44"/>
      <c r="W146" s="44"/>
      <c r="X146" s="15"/>
    </row>
    <row r="147">
      <c r="A147" s="65" t="s">
        <v>443</v>
      </c>
      <c r="B147" s="57" t="s">
        <v>614</v>
      </c>
      <c r="C147" s="31" t="s">
        <v>98</v>
      </c>
      <c r="D147" s="72">
        <v>23.0</v>
      </c>
      <c r="E147" s="72">
        <v>7.0</v>
      </c>
      <c r="F147" s="84"/>
      <c r="G147" s="72">
        <v>7.0</v>
      </c>
      <c r="H147" s="72">
        <v>28.0</v>
      </c>
      <c r="I147" s="72">
        <v>12.0</v>
      </c>
      <c r="J147" s="86"/>
      <c r="K147" s="86"/>
      <c r="L147" s="86"/>
      <c r="M147" s="75">
        <v>0.42857142857142855</v>
      </c>
      <c r="N147" s="67">
        <v>0.34285714285714286</v>
      </c>
      <c r="O147" s="77">
        <v>1.75</v>
      </c>
      <c r="P147" s="87"/>
      <c r="Q147" s="75">
        <v>0.6956521739130435</v>
      </c>
      <c r="R147" s="75">
        <v>0.4375</v>
      </c>
      <c r="S147" s="42"/>
      <c r="T147" s="55"/>
      <c r="U147" s="56"/>
      <c r="V147" s="44"/>
      <c r="W147" s="44"/>
      <c r="X147" s="15"/>
    </row>
    <row r="148">
      <c r="A148" s="65" t="s">
        <v>445</v>
      </c>
      <c r="B148" s="57" t="s">
        <v>618</v>
      </c>
      <c r="C148" s="31" t="s">
        <v>98</v>
      </c>
      <c r="D148" s="72">
        <v>28.0</v>
      </c>
      <c r="E148" s="72">
        <v>0.0</v>
      </c>
      <c r="F148" s="84"/>
      <c r="G148" s="72">
        <v>2.0</v>
      </c>
      <c r="H148" s="72">
        <v>26.0</v>
      </c>
      <c r="I148" s="72">
        <v>0.0</v>
      </c>
      <c r="J148" s="86"/>
      <c r="K148" s="86"/>
      <c r="L148" s="86"/>
      <c r="M148" s="75">
        <v>0.0</v>
      </c>
      <c r="N148" s="67">
        <v>0.0</v>
      </c>
      <c r="O148" s="77">
        <v>1.0</v>
      </c>
      <c r="P148" s="87"/>
      <c r="Q148" s="75">
        <v>0.9285714285714286</v>
      </c>
      <c r="R148" s="75">
        <v>0.0</v>
      </c>
      <c r="S148" s="42"/>
      <c r="T148" s="55"/>
      <c r="U148" s="56"/>
      <c r="V148" s="44"/>
      <c r="W148" s="44"/>
      <c r="X148" s="15"/>
    </row>
    <row r="149">
      <c r="A149" s="65" t="s">
        <v>449</v>
      </c>
      <c r="B149" s="47" t="s">
        <v>362</v>
      </c>
      <c r="C149" s="66" t="s">
        <v>26</v>
      </c>
      <c r="D149" s="72">
        <v>115.0</v>
      </c>
      <c r="E149" s="72">
        <v>23.0</v>
      </c>
      <c r="F149" s="84"/>
      <c r="G149" s="72">
        <v>60.0</v>
      </c>
      <c r="H149" s="72">
        <v>110.0</v>
      </c>
      <c r="I149" s="72">
        <v>55.0</v>
      </c>
      <c r="J149" s="86"/>
      <c r="K149" s="86"/>
      <c r="L149" s="86"/>
      <c r="M149" s="75">
        <v>0.5</v>
      </c>
      <c r="N149" s="67">
        <v>0.3235294117647059</v>
      </c>
      <c r="O149" s="77">
        <v>2.0</v>
      </c>
      <c r="P149" s="87"/>
      <c r="Q149" s="75">
        <v>0.4782608695652174</v>
      </c>
      <c r="R149" s="75">
        <v>0.41818181818181815</v>
      </c>
      <c r="S149" s="42"/>
      <c r="T149" s="55"/>
      <c r="U149" s="56"/>
      <c r="V149" s="44"/>
      <c r="W149" s="44"/>
      <c r="X149" s="15"/>
    </row>
    <row r="150">
      <c r="A150" s="65" t="s">
        <v>453</v>
      </c>
      <c r="B150" s="47"/>
      <c r="C150" s="31" t="s">
        <v>42</v>
      </c>
      <c r="D150" s="72">
        <v>44.0</v>
      </c>
      <c r="E150" s="72">
        <v>15.0</v>
      </c>
      <c r="F150" s="84"/>
      <c r="G150" s="72">
        <v>7.0</v>
      </c>
      <c r="H150" s="72">
        <v>83.0</v>
      </c>
      <c r="I150" s="72">
        <v>46.0</v>
      </c>
      <c r="J150" s="86"/>
      <c r="K150" s="86"/>
      <c r="L150" s="86"/>
      <c r="M150" s="75">
        <v>0.5542168674698795</v>
      </c>
      <c r="N150" s="67">
        <v>0.5111111111111111</v>
      </c>
      <c r="O150" s="77">
        <v>2.2432432432432434</v>
      </c>
      <c r="P150" s="87"/>
      <c r="Q150" s="75">
        <v>0.8409090909090909</v>
      </c>
      <c r="R150" s="75">
        <v>0.40540540540540543</v>
      </c>
      <c r="S150" s="42"/>
      <c r="T150" s="55"/>
      <c r="U150" s="56"/>
      <c r="V150" s="44"/>
      <c r="W150" s="44"/>
      <c r="X150" s="15"/>
    </row>
    <row r="151">
      <c r="A151" s="65" t="s">
        <v>465</v>
      </c>
      <c r="B151" s="57" t="s">
        <v>628</v>
      </c>
      <c r="C151" s="66" t="s">
        <v>31</v>
      </c>
      <c r="D151" s="72">
        <v>52.0</v>
      </c>
      <c r="E151" s="72">
        <v>5.0</v>
      </c>
      <c r="F151" s="84"/>
      <c r="G151" s="72">
        <v>22.0</v>
      </c>
      <c r="H151" s="72">
        <v>43.0</v>
      </c>
      <c r="I151" s="72">
        <v>13.0</v>
      </c>
      <c r="J151" s="86"/>
      <c r="K151" s="86"/>
      <c r="L151" s="86"/>
      <c r="M151" s="75">
        <v>0.3023255813953488</v>
      </c>
      <c r="N151" s="67">
        <v>0.2</v>
      </c>
      <c r="O151" s="77">
        <v>1.4333333333333333</v>
      </c>
      <c r="P151" s="87"/>
      <c r="Q151" s="75">
        <v>0.5769230769230769</v>
      </c>
      <c r="R151" s="75">
        <v>0.16666666666666666</v>
      </c>
      <c r="S151" s="42"/>
      <c r="T151" s="55"/>
      <c r="U151" s="56"/>
      <c r="V151" s="44"/>
      <c r="W151" s="44"/>
      <c r="X151" s="15"/>
    </row>
    <row r="152">
      <c r="A152" s="65" t="s">
        <v>470</v>
      </c>
      <c r="B152" s="57" t="s">
        <v>629</v>
      </c>
      <c r="C152" s="66" t="s">
        <v>26</v>
      </c>
      <c r="D152" s="72">
        <v>23.0</v>
      </c>
      <c r="E152" s="72">
        <v>8.0</v>
      </c>
      <c r="F152" s="84"/>
      <c r="G152" s="72">
        <v>7.0</v>
      </c>
      <c r="H152" s="72">
        <v>24.0</v>
      </c>
      <c r="I152" s="72">
        <v>8.0</v>
      </c>
      <c r="J152" s="86"/>
      <c r="K152" s="86"/>
      <c r="L152" s="86"/>
      <c r="M152" s="75">
        <v>0.3333333333333333</v>
      </c>
      <c r="N152" s="67">
        <v>0.25806451612903225</v>
      </c>
      <c r="O152" s="77">
        <v>1.5</v>
      </c>
      <c r="P152" s="87"/>
      <c r="Q152" s="75">
        <v>0.6956521739130435</v>
      </c>
      <c r="R152" s="75">
        <v>0.5</v>
      </c>
      <c r="S152" s="42"/>
      <c r="T152" s="55"/>
      <c r="U152" s="56"/>
      <c r="V152" s="44"/>
      <c r="W152" s="44"/>
      <c r="X152" s="15"/>
    </row>
    <row r="153">
      <c r="A153" s="65" t="s">
        <v>475</v>
      </c>
      <c r="B153" s="57" t="s">
        <v>630</v>
      </c>
      <c r="C153" s="31" t="s">
        <v>98</v>
      </c>
      <c r="D153" s="72">
        <v>46.0</v>
      </c>
      <c r="E153" s="72">
        <v>16.0</v>
      </c>
      <c r="F153" s="84"/>
      <c r="G153" s="72">
        <v>14.0</v>
      </c>
      <c r="H153" s="72">
        <v>69.0</v>
      </c>
      <c r="I153" s="72">
        <v>37.0</v>
      </c>
      <c r="J153" s="86"/>
      <c r="K153" s="86"/>
      <c r="L153" s="86"/>
      <c r="M153" s="75">
        <v>0.5362318840579711</v>
      </c>
      <c r="N153" s="67">
        <v>0.4457831325301205</v>
      </c>
      <c r="O153" s="77">
        <v>2.15625</v>
      </c>
      <c r="P153" s="87"/>
      <c r="Q153" s="75">
        <v>0.6956521739130435</v>
      </c>
      <c r="R153" s="75">
        <v>0.5</v>
      </c>
      <c r="S153" s="42"/>
      <c r="T153" s="55"/>
      <c r="U153" s="56"/>
      <c r="V153" s="44"/>
      <c r="W153" s="44"/>
      <c r="X153" s="15"/>
    </row>
    <row r="154">
      <c r="A154" s="65" t="s">
        <v>478</v>
      </c>
      <c r="B154" s="47"/>
      <c r="C154" s="31" t="s">
        <v>42</v>
      </c>
      <c r="D154" s="72">
        <v>16.0</v>
      </c>
      <c r="E154" s="72">
        <v>1.0</v>
      </c>
      <c r="F154" s="84"/>
      <c r="G154" s="72">
        <v>8.0</v>
      </c>
      <c r="H154" s="72">
        <v>9.0</v>
      </c>
      <c r="I154" s="72">
        <v>1.0</v>
      </c>
      <c r="J154" s="86"/>
      <c r="K154" s="86"/>
      <c r="L154" s="86"/>
      <c r="M154" s="75">
        <v>0.1111111111111111</v>
      </c>
      <c r="N154" s="67">
        <v>0.058823529411764705</v>
      </c>
      <c r="O154" s="77">
        <v>1.125</v>
      </c>
      <c r="P154" s="87"/>
      <c r="Q154" s="75">
        <v>0.5</v>
      </c>
      <c r="R154" s="75">
        <v>0.125</v>
      </c>
      <c r="S154" s="42"/>
      <c r="T154" s="43"/>
      <c r="U154" s="27"/>
      <c r="V154" s="44"/>
      <c r="W154" s="44"/>
      <c r="X154" s="15"/>
    </row>
    <row r="155">
      <c r="A155" s="88" t="s">
        <v>479</v>
      </c>
      <c r="B155" s="57" t="s">
        <v>631</v>
      </c>
      <c r="C155" s="66" t="s">
        <v>31</v>
      </c>
      <c r="D155" s="72">
        <v>27.0</v>
      </c>
      <c r="E155" s="72">
        <v>2.0</v>
      </c>
      <c r="F155" s="84"/>
      <c r="G155" s="72">
        <v>20.0</v>
      </c>
      <c r="H155" s="72">
        <v>14.0</v>
      </c>
      <c r="I155" s="72">
        <v>7.0</v>
      </c>
      <c r="J155" s="86"/>
      <c r="K155" s="86"/>
      <c r="L155" s="86"/>
      <c r="M155" s="75">
        <v>0.5</v>
      </c>
      <c r="N155" s="67">
        <v>0.20588235294117646</v>
      </c>
      <c r="O155" s="77">
        <v>2.0</v>
      </c>
      <c r="P155" s="87"/>
      <c r="Q155" s="75">
        <v>0.25925925925925924</v>
      </c>
      <c r="R155" s="75">
        <v>0.2857142857142857</v>
      </c>
      <c r="S155" s="42"/>
      <c r="T155" s="55"/>
      <c r="U155" s="56"/>
      <c r="V155" s="44"/>
      <c r="W155" s="44"/>
      <c r="X155" s="15"/>
    </row>
    <row r="156">
      <c r="A156" s="65" t="s">
        <v>482</v>
      </c>
      <c r="B156" s="57" t="s">
        <v>632</v>
      </c>
      <c r="C156" s="31" t="s">
        <v>46</v>
      </c>
      <c r="D156" s="72">
        <v>9.0</v>
      </c>
      <c r="E156" s="72">
        <v>0.0</v>
      </c>
      <c r="F156" s="84"/>
      <c r="G156" s="72">
        <v>2.0</v>
      </c>
      <c r="H156" s="72">
        <v>7.0</v>
      </c>
      <c r="I156" s="72">
        <v>0.0</v>
      </c>
      <c r="J156" s="86"/>
      <c r="K156" s="86"/>
      <c r="L156" s="86"/>
      <c r="M156" s="75">
        <v>0.0</v>
      </c>
      <c r="N156" s="67">
        <v>0.0</v>
      </c>
      <c r="O156" s="77">
        <v>1.0</v>
      </c>
      <c r="P156" s="87"/>
      <c r="Q156" s="75">
        <v>0.7777777777777778</v>
      </c>
      <c r="R156" s="75">
        <v>0.0</v>
      </c>
      <c r="S156" s="42"/>
      <c r="T156" s="55"/>
      <c r="U156" s="56"/>
      <c r="V156" s="44"/>
      <c r="W156" s="44"/>
      <c r="X156" s="15"/>
    </row>
    <row r="157">
      <c r="A157" s="65" t="s">
        <v>484</v>
      </c>
      <c r="B157" s="57" t="s">
        <v>633</v>
      </c>
      <c r="C157" s="66" t="s">
        <v>31</v>
      </c>
      <c r="D157" s="72">
        <v>60.0</v>
      </c>
      <c r="E157" s="72">
        <v>7.0</v>
      </c>
      <c r="F157" s="84"/>
      <c r="G157" s="72">
        <v>20.0</v>
      </c>
      <c r="H157" s="72">
        <v>51.0</v>
      </c>
      <c r="I157" s="72">
        <v>11.0</v>
      </c>
      <c r="J157" s="86"/>
      <c r="K157" s="86"/>
      <c r="L157" s="86"/>
      <c r="M157" s="75">
        <v>0.21568627450980393</v>
      </c>
      <c r="N157" s="67">
        <v>0.15492957746478872</v>
      </c>
      <c r="O157" s="77">
        <v>1.275</v>
      </c>
      <c r="P157" s="87"/>
      <c r="Q157" s="75">
        <v>0.6666666666666666</v>
      </c>
      <c r="R157" s="75">
        <v>0.175</v>
      </c>
      <c r="S157" s="42"/>
      <c r="T157" s="55"/>
      <c r="U157" s="56"/>
      <c r="V157" s="44"/>
      <c r="W157" s="44"/>
      <c r="X157" s="15"/>
    </row>
    <row r="158">
      <c r="A158" s="88" t="s">
        <v>498</v>
      </c>
      <c r="B158" s="57" t="s">
        <v>634</v>
      </c>
      <c r="C158" s="66" t="s">
        <v>26</v>
      </c>
      <c r="D158" s="72">
        <v>17.0</v>
      </c>
      <c r="E158" s="72">
        <v>7.0</v>
      </c>
      <c r="F158" s="84"/>
      <c r="G158" s="72">
        <v>3.0</v>
      </c>
      <c r="H158" s="72">
        <v>25.0</v>
      </c>
      <c r="I158" s="72">
        <v>11.0</v>
      </c>
      <c r="J158" s="86"/>
      <c r="K158" s="86"/>
      <c r="L158" s="86"/>
      <c r="M158" s="75">
        <v>0.44</v>
      </c>
      <c r="N158" s="67">
        <v>0.39285714285714285</v>
      </c>
      <c r="O158" s="77">
        <v>1.7857142857142858</v>
      </c>
      <c r="P158" s="87"/>
      <c r="Q158" s="75">
        <v>0.8235294117647058</v>
      </c>
      <c r="R158" s="75">
        <v>0.5</v>
      </c>
      <c r="S158" s="42"/>
      <c r="T158" s="55"/>
      <c r="U158" s="56"/>
      <c r="V158" s="44"/>
      <c r="W158" s="44"/>
      <c r="X158" s="15"/>
    </row>
    <row r="159">
      <c r="A159" s="65" t="s">
        <v>503</v>
      </c>
      <c r="B159" s="57" t="s">
        <v>635</v>
      </c>
      <c r="C159" s="66" t="s">
        <v>33</v>
      </c>
      <c r="D159" s="72">
        <v>11.0</v>
      </c>
      <c r="E159" s="72">
        <v>3.0</v>
      </c>
      <c r="F159" s="84"/>
      <c r="G159" s="72">
        <v>5.0</v>
      </c>
      <c r="H159" s="72">
        <v>16.0</v>
      </c>
      <c r="I159" s="72">
        <v>10.0</v>
      </c>
      <c r="J159" s="86"/>
      <c r="K159" s="86"/>
      <c r="L159" s="86"/>
      <c r="M159" s="75">
        <v>0.625</v>
      </c>
      <c r="N159" s="67">
        <v>0.47619047619047616</v>
      </c>
      <c r="O159" s="77">
        <v>2.6666666666666665</v>
      </c>
      <c r="P159" s="87"/>
      <c r="Q159" s="75">
        <v>0.5454545454545454</v>
      </c>
      <c r="R159" s="75">
        <v>0.5</v>
      </c>
      <c r="S159" s="42"/>
      <c r="T159" s="55"/>
      <c r="U159" s="56"/>
      <c r="V159" s="44"/>
      <c r="W159" s="44"/>
      <c r="X159" s="15"/>
    </row>
    <row r="160">
      <c r="A160" s="65" t="s">
        <v>505</v>
      </c>
      <c r="B160" s="57" t="s">
        <v>636</v>
      </c>
      <c r="C160" s="66" t="s">
        <v>26</v>
      </c>
      <c r="D160" s="72">
        <v>139.0</v>
      </c>
      <c r="E160" s="72">
        <v>40.0</v>
      </c>
      <c r="F160" s="84"/>
      <c r="G160" s="72">
        <v>43.0</v>
      </c>
      <c r="H160" s="72">
        <v>174.0</v>
      </c>
      <c r="I160" s="72">
        <v>78.0</v>
      </c>
      <c r="J160" s="86"/>
      <c r="K160" s="86"/>
      <c r="L160" s="86"/>
      <c r="M160" s="75">
        <v>0.4482758620689655</v>
      </c>
      <c r="N160" s="67">
        <v>0.35944700460829493</v>
      </c>
      <c r="O160" s="77">
        <v>1.8125</v>
      </c>
      <c r="P160" s="87"/>
      <c r="Q160" s="75">
        <v>0.6906474820143885</v>
      </c>
      <c r="R160" s="75">
        <v>0.4166666666666667</v>
      </c>
      <c r="S160" s="42"/>
      <c r="T160" s="55"/>
      <c r="U160" s="56"/>
      <c r="V160" s="44"/>
      <c r="W160" s="44"/>
      <c r="X160" s="15"/>
    </row>
    <row r="161">
      <c r="A161" s="65" t="s">
        <v>507</v>
      </c>
      <c r="B161" s="57" t="s">
        <v>637</v>
      </c>
      <c r="C161" s="31" t="s">
        <v>98</v>
      </c>
      <c r="D161" s="72">
        <v>19.0</v>
      </c>
      <c r="E161" s="72">
        <v>3.0</v>
      </c>
      <c r="F161" s="84"/>
      <c r="G161" s="72">
        <v>5.0</v>
      </c>
      <c r="H161" s="72">
        <v>24.0</v>
      </c>
      <c r="I161" s="72">
        <v>10.0</v>
      </c>
      <c r="J161" s="86"/>
      <c r="K161" s="86"/>
      <c r="L161" s="86"/>
      <c r="M161" s="75">
        <v>0.4166666666666667</v>
      </c>
      <c r="N161" s="67">
        <v>0.3448275862068966</v>
      </c>
      <c r="O161" s="77">
        <v>1.7142857142857142</v>
      </c>
      <c r="P161" s="87"/>
      <c r="Q161" s="75">
        <v>0.7368421052631579</v>
      </c>
      <c r="R161" s="75">
        <v>0.21428571428571427</v>
      </c>
      <c r="S161" s="42"/>
      <c r="T161" s="55"/>
      <c r="U161" s="56"/>
      <c r="V161" s="44"/>
      <c r="W161" s="44"/>
      <c r="X161" s="15"/>
    </row>
    <row r="162">
      <c r="A162" s="65" t="s">
        <v>509</v>
      </c>
      <c r="B162" s="47"/>
      <c r="C162" s="66" t="s">
        <v>31</v>
      </c>
      <c r="D162" s="72">
        <v>15.0</v>
      </c>
      <c r="E162" s="72">
        <v>0.0</v>
      </c>
      <c r="F162" s="84"/>
      <c r="G162" s="72">
        <v>6.0</v>
      </c>
      <c r="H162" s="72">
        <v>9.0</v>
      </c>
      <c r="I162" s="72">
        <v>0.0</v>
      </c>
      <c r="J162" s="86"/>
      <c r="K162" s="86"/>
      <c r="L162" s="86"/>
      <c r="M162" s="75">
        <v>0.0</v>
      </c>
      <c r="N162" s="67">
        <v>0.0</v>
      </c>
      <c r="O162" s="77">
        <v>1.0</v>
      </c>
      <c r="P162" s="87"/>
      <c r="Q162" s="75">
        <v>0.6</v>
      </c>
      <c r="R162" s="75">
        <v>0.0</v>
      </c>
      <c r="S162" s="42"/>
      <c r="T162" s="55"/>
      <c r="U162" s="56"/>
      <c r="V162" s="44"/>
      <c r="W162" s="44"/>
      <c r="X162" s="15"/>
    </row>
    <row r="163">
      <c r="A163" s="65" t="s">
        <v>510</v>
      </c>
      <c r="B163" s="57" t="s">
        <v>638</v>
      </c>
      <c r="C163" s="66" t="s">
        <v>31</v>
      </c>
      <c r="D163" s="72">
        <v>37.0</v>
      </c>
      <c r="E163" s="72">
        <v>8.0</v>
      </c>
      <c r="F163" s="84"/>
      <c r="G163" s="72">
        <v>12.0</v>
      </c>
      <c r="H163" s="72">
        <v>37.0</v>
      </c>
      <c r="I163" s="72">
        <v>12.0</v>
      </c>
      <c r="J163" s="86"/>
      <c r="K163" s="86"/>
      <c r="L163" s="86"/>
      <c r="M163" s="75">
        <v>0.32432432432432434</v>
      </c>
      <c r="N163" s="67">
        <v>0.24489795918367346</v>
      </c>
      <c r="O163" s="77">
        <v>1.48</v>
      </c>
      <c r="P163" s="87"/>
      <c r="Q163" s="75">
        <v>0.6756756756756757</v>
      </c>
      <c r="R163" s="75">
        <v>0.32</v>
      </c>
      <c r="S163" s="42"/>
      <c r="T163" s="55"/>
      <c r="U163" s="56"/>
      <c r="V163" s="44"/>
      <c r="W163" s="44"/>
      <c r="X163" s="15"/>
    </row>
    <row r="164">
      <c r="A164" s="88" t="s">
        <v>516</v>
      </c>
      <c r="B164" s="101" t="s">
        <v>639</v>
      </c>
      <c r="C164" s="31" t="s">
        <v>42</v>
      </c>
      <c r="D164" s="72">
        <v>33.0</v>
      </c>
      <c r="E164" s="72">
        <v>3.0</v>
      </c>
      <c r="F164" s="84"/>
      <c r="G164" s="72">
        <v>21.0</v>
      </c>
      <c r="H164" s="72">
        <v>27.0</v>
      </c>
      <c r="I164" s="72">
        <v>15.0</v>
      </c>
      <c r="J164" s="86"/>
      <c r="K164" s="86"/>
      <c r="L164" s="86"/>
      <c r="M164" s="75">
        <v>0.5555555555555556</v>
      </c>
      <c r="N164" s="67">
        <v>0.3125</v>
      </c>
      <c r="O164" s="77">
        <v>2.25</v>
      </c>
      <c r="P164" s="87"/>
      <c r="Q164" s="75">
        <v>0.36363636363636365</v>
      </c>
      <c r="R164" s="75">
        <v>0.25</v>
      </c>
      <c r="S164" s="42"/>
      <c r="T164" s="55"/>
      <c r="U164" s="56"/>
      <c r="V164" s="44"/>
      <c r="W164" s="44"/>
      <c r="X164" s="15"/>
    </row>
    <row r="165">
      <c r="A165" s="88" t="s">
        <v>517</v>
      </c>
      <c r="B165" s="57" t="s">
        <v>640</v>
      </c>
      <c r="C165" s="31" t="s">
        <v>42</v>
      </c>
      <c r="D165" s="72">
        <v>54.0</v>
      </c>
      <c r="E165" s="72">
        <v>18.0</v>
      </c>
      <c r="F165" s="84"/>
      <c r="G165" s="72">
        <v>6.0</v>
      </c>
      <c r="H165" s="72">
        <v>93.0</v>
      </c>
      <c r="I165" s="72">
        <v>45.0</v>
      </c>
      <c r="J165" s="86"/>
      <c r="K165" s="86"/>
      <c r="L165" s="86"/>
      <c r="M165" s="75">
        <v>0.4838709677419355</v>
      </c>
      <c r="N165" s="67">
        <v>0.45454545454545453</v>
      </c>
      <c r="O165" s="77">
        <v>1.9375</v>
      </c>
      <c r="P165" s="87"/>
      <c r="Q165" s="75">
        <v>0.8888888888888888</v>
      </c>
      <c r="R165" s="75">
        <v>0.375</v>
      </c>
      <c r="S165" s="42"/>
      <c r="T165" s="55"/>
      <c r="U165" s="56"/>
      <c r="V165" s="44"/>
      <c r="W165" s="44"/>
      <c r="X165" s="15"/>
    </row>
    <row r="166">
      <c r="A166" s="65" t="s">
        <v>518</v>
      </c>
      <c r="B166" s="47"/>
      <c r="C166" s="31" t="s">
        <v>46</v>
      </c>
      <c r="D166" s="72">
        <v>122.0</v>
      </c>
      <c r="E166" s="72">
        <v>38.0</v>
      </c>
      <c r="F166" s="84"/>
      <c r="G166" s="72">
        <v>52.0</v>
      </c>
      <c r="H166" s="72">
        <v>166.0</v>
      </c>
      <c r="I166" s="72">
        <v>96.0</v>
      </c>
      <c r="J166" s="86"/>
      <c r="K166" s="86"/>
      <c r="L166" s="86"/>
      <c r="M166" s="75">
        <v>0.5783132530120482</v>
      </c>
      <c r="N166" s="67">
        <v>0.44036697247706424</v>
      </c>
      <c r="O166" s="77">
        <v>2.3714285714285714</v>
      </c>
      <c r="P166" s="87"/>
      <c r="Q166" s="75">
        <v>0.5737704918032787</v>
      </c>
      <c r="R166" s="75">
        <v>0.5428571428571428</v>
      </c>
      <c r="S166" s="42"/>
      <c r="T166" s="55"/>
      <c r="U166" s="56"/>
      <c r="V166" s="44"/>
      <c r="W166" s="44"/>
      <c r="X166" s="15"/>
    </row>
    <row r="167">
      <c r="A167" s="88" t="s">
        <v>522</v>
      </c>
      <c r="B167" s="57" t="s">
        <v>641</v>
      </c>
      <c r="C167" s="66" t="s">
        <v>26</v>
      </c>
      <c r="D167" s="72">
        <v>25.0</v>
      </c>
      <c r="E167" s="72">
        <v>2.0</v>
      </c>
      <c r="F167" s="84"/>
      <c r="G167" s="72">
        <v>15.0</v>
      </c>
      <c r="H167" s="72">
        <v>13.0</v>
      </c>
      <c r="I167" s="72">
        <v>3.0</v>
      </c>
      <c r="J167" s="86"/>
      <c r="K167" s="86"/>
      <c r="L167" s="86"/>
      <c r="M167" s="75">
        <v>0.23076923076923078</v>
      </c>
      <c r="N167" s="67">
        <v>0.10714285714285714</v>
      </c>
      <c r="O167" s="77">
        <v>1.3</v>
      </c>
      <c r="P167" s="87"/>
      <c r="Q167" s="75">
        <v>0.4</v>
      </c>
      <c r="R167" s="75">
        <v>0.2</v>
      </c>
      <c r="S167" s="42"/>
      <c r="T167" s="55"/>
      <c r="U167" s="56"/>
      <c r="V167" s="44"/>
      <c r="W167" s="44"/>
      <c r="X167" s="15"/>
    </row>
    <row r="168">
      <c r="A168" s="65" t="s">
        <v>523</v>
      </c>
      <c r="B168" s="47"/>
      <c r="C168" s="66" t="s">
        <v>26</v>
      </c>
      <c r="D168" s="72">
        <v>9.0</v>
      </c>
      <c r="E168" s="72">
        <v>2.0</v>
      </c>
      <c r="F168" s="84"/>
      <c r="G168" s="72">
        <v>4.0</v>
      </c>
      <c r="H168" s="72">
        <v>9.0</v>
      </c>
      <c r="I168" s="72">
        <v>4.0</v>
      </c>
      <c r="J168" s="86"/>
      <c r="K168" s="86"/>
      <c r="L168" s="86"/>
      <c r="M168" s="75">
        <v>0.4444444444444444</v>
      </c>
      <c r="N168" s="67">
        <v>0.3076923076923077</v>
      </c>
      <c r="O168" s="77">
        <v>1.8</v>
      </c>
      <c r="P168" s="87"/>
      <c r="Q168" s="75">
        <v>0.5555555555555556</v>
      </c>
      <c r="R168" s="75">
        <v>0.4</v>
      </c>
      <c r="S168" s="42"/>
      <c r="T168" s="55"/>
      <c r="U168" s="56"/>
      <c r="V168" s="44"/>
      <c r="W168" s="44"/>
      <c r="X168" s="15"/>
    </row>
    <row r="169">
      <c r="A169" s="65" t="s">
        <v>524</v>
      </c>
      <c r="B169" s="57" t="s">
        <v>642</v>
      </c>
      <c r="C169" s="31" t="s">
        <v>98</v>
      </c>
      <c r="D169" s="72">
        <v>19.0</v>
      </c>
      <c r="E169" s="72">
        <v>0.0</v>
      </c>
      <c r="F169" s="84"/>
      <c r="G169" s="72">
        <v>19.0</v>
      </c>
      <c r="H169" s="72">
        <v>0.0</v>
      </c>
      <c r="I169" s="72">
        <v>0.0</v>
      </c>
      <c r="J169" s="86"/>
      <c r="K169" s="86"/>
      <c r="L169" s="86"/>
      <c r="M169" s="75">
        <v>0.0</v>
      </c>
      <c r="N169" s="67">
        <v>0.0</v>
      </c>
      <c r="O169" s="77">
        <v>0.0</v>
      </c>
      <c r="P169" s="87"/>
      <c r="Q169" s="75">
        <v>0.0</v>
      </c>
      <c r="R169" s="75">
        <v>0.0</v>
      </c>
      <c r="S169" s="42"/>
      <c r="T169" s="55"/>
      <c r="U169" s="56"/>
      <c r="V169" s="44"/>
      <c r="W169" s="44"/>
      <c r="X169" s="15"/>
    </row>
    <row r="170">
      <c r="A170" s="65" t="s">
        <v>526</v>
      </c>
      <c r="B170" s="57" t="s">
        <v>643</v>
      </c>
      <c r="C170" s="31" t="s">
        <v>46</v>
      </c>
      <c r="D170" s="72">
        <v>17.0</v>
      </c>
      <c r="E170" s="72">
        <v>2.0</v>
      </c>
      <c r="F170" s="84"/>
      <c r="G170" s="72">
        <v>5.0</v>
      </c>
      <c r="H170" s="72">
        <v>16.0</v>
      </c>
      <c r="I170" s="72">
        <v>4.0</v>
      </c>
      <c r="J170" s="86"/>
      <c r="K170" s="86"/>
      <c r="L170" s="86"/>
      <c r="M170" s="75">
        <v>0.25</v>
      </c>
      <c r="N170" s="67">
        <v>0.19047619047619047</v>
      </c>
      <c r="O170" s="77">
        <v>1.3333333333333333</v>
      </c>
      <c r="P170" s="87"/>
      <c r="Q170" s="75">
        <v>0.7058823529411765</v>
      </c>
      <c r="R170" s="75">
        <v>0.16666666666666666</v>
      </c>
      <c r="S170" s="42"/>
      <c r="T170" s="55"/>
      <c r="U170" s="56"/>
      <c r="V170" s="44"/>
      <c r="W170" s="44"/>
      <c r="X170" s="15"/>
    </row>
    <row r="171">
      <c r="A171" s="65" t="s">
        <v>529</v>
      </c>
      <c r="B171" s="57" t="s">
        <v>644</v>
      </c>
      <c r="C171" s="66" t="s">
        <v>31</v>
      </c>
      <c r="D171" s="72">
        <v>29.0</v>
      </c>
      <c r="E171" s="72">
        <v>2.0</v>
      </c>
      <c r="F171" s="84"/>
      <c r="G171" s="72">
        <v>9.0</v>
      </c>
      <c r="H171" s="72">
        <v>23.0</v>
      </c>
      <c r="I171" s="72">
        <v>3.0</v>
      </c>
      <c r="J171" s="86"/>
      <c r="K171" s="86"/>
      <c r="L171" s="86"/>
      <c r="M171" s="75">
        <v>0.13043478260869565</v>
      </c>
      <c r="N171" s="67">
        <v>0.09375</v>
      </c>
      <c r="O171" s="77">
        <v>1.15</v>
      </c>
      <c r="P171" s="87"/>
      <c r="Q171" s="75">
        <v>0.6896551724137931</v>
      </c>
      <c r="R171" s="75">
        <v>0.1</v>
      </c>
      <c r="S171" s="42"/>
      <c r="T171" s="55"/>
      <c r="U171" s="56"/>
      <c r="V171" s="44"/>
      <c r="W171" s="44"/>
      <c r="X171" s="15"/>
    </row>
    <row r="172">
      <c r="A172" s="65" t="s">
        <v>533</v>
      </c>
      <c r="B172" s="47"/>
      <c r="C172" s="66" t="s">
        <v>31</v>
      </c>
      <c r="D172" s="72">
        <v>48.0</v>
      </c>
      <c r="E172" s="72">
        <v>11.0</v>
      </c>
      <c r="F172" s="84"/>
      <c r="G172" s="72">
        <v>21.0</v>
      </c>
      <c r="H172" s="72">
        <v>72.0</v>
      </c>
      <c r="I172" s="72">
        <v>45.0</v>
      </c>
      <c r="J172" s="86"/>
      <c r="K172" s="86"/>
      <c r="L172" s="86"/>
      <c r="M172" s="75">
        <v>0.625</v>
      </c>
      <c r="N172" s="67">
        <v>0.4838709677419355</v>
      </c>
      <c r="O172" s="77">
        <v>2.6666666666666665</v>
      </c>
      <c r="P172" s="87"/>
      <c r="Q172" s="75">
        <v>0.5625</v>
      </c>
      <c r="R172" s="75">
        <v>0.4074074074074074</v>
      </c>
      <c r="S172" s="42"/>
      <c r="T172" s="55"/>
      <c r="U172" s="56"/>
      <c r="V172" s="44"/>
      <c r="W172" s="44"/>
      <c r="X172" s="15"/>
    </row>
    <row r="173">
      <c r="A173" s="65" t="s">
        <v>535</v>
      </c>
      <c r="B173" s="57" t="s">
        <v>645</v>
      </c>
      <c r="C173" s="66" t="s">
        <v>26</v>
      </c>
      <c r="D173" s="72">
        <v>17.0</v>
      </c>
      <c r="E173" s="72">
        <v>4.0</v>
      </c>
      <c r="F173" s="84"/>
      <c r="G173" s="72">
        <v>10.0</v>
      </c>
      <c r="H173" s="72">
        <v>10.0</v>
      </c>
      <c r="I173" s="72">
        <v>3.0</v>
      </c>
      <c r="J173" s="86"/>
      <c r="K173" s="86"/>
      <c r="L173" s="86"/>
      <c r="M173" s="75">
        <v>0.3</v>
      </c>
      <c r="N173" s="67">
        <v>0.15</v>
      </c>
      <c r="O173" s="77">
        <v>1.4285714285714286</v>
      </c>
      <c r="P173" s="87"/>
      <c r="Q173" s="75">
        <v>0.4117647058823529</v>
      </c>
      <c r="R173" s="75">
        <v>0.5714285714285714</v>
      </c>
      <c r="S173" s="42"/>
      <c r="T173" s="55"/>
      <c r="U173" s="56"/>
      <c r="V173" s="44"/>
      <c r="W173" s="44"/>
      <c r="X173" s="15"/>
    </row>
    <row r="174">
      <c r="A174" s="65" t="s">
        <v>541</v>
      </c>
      <c r="B174" s="57" t="s">
        <v>646</v>
      </c>
      <c r="C174" s="31" t="s">
        <v>98</v>
      </c>
      <c r="D174" s="72">
        <v>32.0</v>
      </c>
      <c r="E174" s="72">
        <v>5.0</v>
      </c>
      <c r="F174" s="84"/>
      <c r="G174" s="72">
        <v>11.0</v>
      </c>
      <c r="H174" s="72">
        <v>44.0</v>
      </c>
      <c r="I174" s="72">
        <v>21.0</v>
      </c>
      <c r="J174" s="86"/>
      <c r="K174" s="86"/>
      <c r="L174" s="86"/>
      <c r="M174" s="75">
        <v>0.4772727272727273</v>
      </c>
      <c r="N174" s="67">
        <v>0.38181818181818183</v>
      </c>
      <c r="O174" s="77">
        <v>1.9130434782608696</v>
      </c>
      <c r="P174" s="87"/>
      <c r="Q174" s="75">
        <v>0.71875</v>
      </c>
      <c r="R174" s="75">
        <v>0.21739130434782608</v>
      </c>
      <c r="S174" s="42"/>
      <c r="T174" s="55"/>
      <c r="U174" s="56"/>
      <c r="V174" s="44"/>
      <c r="W174" s="44"/>
      <c r="X174" s="15"/>
    </row>
    <row r="175">
      <c r="A175" s="27" t="s">
        <v>542</v>
      </c>
      <c r="B175" s="47"/>
      <c r="C175" s="31" t="s">
        <v>98</v>
      </c>
      <c r="D175" s="48">
        <v>68.0</v>
      </c>
      <c r="E175" s="48">
        <v>8.0</v>
      </c>
      <c r="F175" s="84"/>
      <c r="G175" s="48">
        <v>43.0</v>
      </c>
      <c r="H175" s="48">
        <v>63.0</v>
      </c>
      <c r="I175" s="48">
        <v>38.0</v>
      </c>
      <c r="J175" s="86"/>
      <c r="K175" s="86"/>
      <c r="L175" s="86"/>
      <c r="M175" s="37">
        <v>0.6031746031746031</v>
      </c>
      <c r="N175" s="38">
        <v>0.3584905660377358</v>
      </c>
      <c r="O175" s="39">
        <v>2.52</v>
      </c>
      <c r="P175" s="87"/>
      <c r="Q175" s="37">
        <v>0.36764705882352944</v>
      </c>
      <c r="R175" s="37">
        <v>0.32</v>
      </c>
      <c r="S175" s="42"/>
      <c r="T175" s="55"/>
      <c r="U175" s="56"/>
      <c r="V175" s="44"/>
      <c r="W175" s="44"/>
      <c r="X175" s="15"/>
    </row>
    <row r="176">
      <c r="A176" s="65" t="s">
        <v>543</v>
      </c>
      <c r="B176" s="57" t="s">
        <v>647</v>
      </c>
      <c r="C176" s="66" t="s">
        <v>31</v>
      </c>
      <c r="D176" s="72">
        <v>6.0</v>
      </c>
      <c r="E176" s="72">
        <v>1.0</v>
      </c>
      <c r="F176" s="84"/>
      <c r="G176" s="72">
        <v>3.0</v>
      </c>
      <c r="H176" s="72">
        <v>4.0</v>
      </c>
      <c r="I176" s="72">
        <v>1.0</v>
      </c>
      <c r="J176" s="86"/>
      <c r="K176" s="86"/>
      <c r="L176" s="86"/>
      <c r="M176" s="75">
        <v>0.25</v>
      </c>
      <c r="N176" s="67">
        <v>0.14285714285714285</v>
      </c>
      <c r="O176" s="77">
        <v>1.3333333333333333</v>
      </c>
      <c r="P176" s="87"/>
      <c r="Q176" s="75">
        <v>0.5</v>
      </c>
      <c r="R176" s="75">
        <v>0.3333333333333333</v>
      </c>
      <c r="S176" s="42"/>
      <c r="T176" s="55"/>
      <c r="U176" s="56"/>
      <c r="V176" s="44"/>
      <c r="W176" s="44"/>
      <c r="X176" s="15"/>
    </row>
    <row r="177">
      <c r="A177" s="88" t="s">
        <v>545</v>
      </c>
      <c r="B177" s="47"/>
      <c r="C177" s="31" t="s">
        <v>42</v>
      </c>
      <c r="D177" s="72">
        <v>15.0</v>
      </c>
      <c r="E177" s="72">
        <v>6.0</v>
      </c>
      <c r="F177" s="84"/>
      <c r="G177" s="72">
        <v>7.0</v>
      </c>
      <c r="H177" s="72">
        <v>18.0</v>
      </c>
      <c r="I177" s="72">
        <v>10.0</v>
      </c>
      <c r="J177" s="86"/>
      <c r="K177" s="86"/>
      <c r="L177" s="86"/>
      <c r="M177" s="75">
        <v>0.5555555555555556</v>
      </c>
      <c r="N177" s="67">
        <v>0.4</v>
      </c>
      <c r="O177" s="77">
        <v>2.25</v>
      </c>
      <c r="P177" s="87"/>
      <c r="Q177" s="75">
        <v>0.5333333333333333</v>
      </c>
      <c r="R177" s="75">
        <v>0.75</v>
      </c>
      <c r="S177" s="42"/>
      <c r="T177" s="55"/>
      <c r="U177" s="56"/>
      <c r="V177" s="44"/>
      <c r="W177" s="44"/>
      <c r="X177" s="15"/>
    </row>
    <row r="178">
      <c r="A178" s="65" t="s">
        <v>556</v>
      </c>
      <c r="B178" s="57" t="s">
        <v>648</v>
      </c>
      <c r="C178" s="31" t="s">
        <v>42</v>
      </c>
      <c r="D178" s="72">
        <v>74.0</v>
      </c>
      <c r="E178" s="72">
        <v>17.0</v>
      </c>
      <c r="F178" s="84"/>
      <c r="G178" s="72">
        <v>34.0</v>
      </c>
      <c r="H178" s="72">
        <v>71.0</v>
      </c>
      <c r="I178" s="72">
        <v>31.0</v>
      </c>
      <c r="J178" s="86"/>
      <c r="K178" s="86"/>
      <c r="L178" s="86"/>
      <c r="M178" s="75">
        <v>0.43661971830985913</v>
      </c>
      <c r="N178" s="67">
        <v>0.29523809523809524</v>
      </c>
      <c r="O178" s="77">
        <v>1.775</v>
      </c>
      <c r="P178" s="87"/>
      <c r="Q178" s="75">
        <v>0.5405405405405406</v>
      </c>
      <c r="R178" s="75">
        <v>0.425</v>
      </c>
      <c r="S178" s="42"/>
      <c r="T178" s="55"/>
      <c r="U178" s="56"/>
      <c r="V178" s="44"/>
      <c r="W178" s="44"/>
      <c r="X178" s="15"/>
    </row>
    <row r="179">
      <c r="A179" s="88" t="s">
        <v>557</v>
      </c>
      <c r="B179" s="47"/>
      <c r="C179" s="66" t="s">
        <v>31</v>
      </c>
      <c r="D179" s="72">
        <v>22.0</v>
      </c>
      <c r="E179" s="72">
        <v>5.0</v>
      </c>
      <c r="F179" s="84"/>
      <c r="G179" s="72">
        <v>6.0</v>
      </c>
      <c r="H179" s="72">
        <v>22.0</v>
      </c>
      <c r="I179" s="72">
        <v>6.0</v>
      </c>
      <c r="J179" s="86"/>
      <c r="K179" s="86"/>
      <c r="L179" s="86"/>
      <c r="M179" s="75">
        <v>0.2727272727272727</v>
      </c>
      <c r="N179" s="67">
        <v>0.21428571428571427</v>
      </c>
      <c r="O179" s="77">
        <v>1.375</v>
      </c>
      <c r="P179" s="87"/>
      <c r="Q179" s="75">
        <v>0.7272727272727273</v>
      </c>
      <c r="R179" s="75">
        <v>0.3125</v>
      </c>
      <c r="S179" s="42"/>
      <c r="T179" s="55"/>
      <c r="U179" s="56"/>
      <c r="V179" s="44"/>
      <c r="W179" s="44"/>
      <c r="X179" s="15"/>
    </row>
    <row r="180">
      <c r="A180" s="65" t="s">
        <v>558</v>
      </c>
      <c r="B180" s="57" t="s">
        <v>649</v>
      </c>
      <c r="C180" s="66" t="s">
        <v>26</v>
      </c>
      <c r="D180" s="72">
        <v>126.0</v>
      </c>
      <c r="E180" s="72">
        <v>45.0</v>
      </c>
      <c r="F180" s="84"/>
      <c r="G180" s="72">
        <v>0.0</v>
      </c>
      <c r="H180" s="72">
        <v>220.0</v>
      </c>
      <c r="I180" s="72">
        <v>94.0</v>
      </c>
      <c r="J180" s="86"/>
      <c r="K180" s="86"/>
      <c r="L180" s="86"/>
      <c r="M180" s="75">
        <v>0.42727272727272725</v>
      </c>
      <c r="N180" s="67">
        <v>0.42727272727272725</v>
      </c>
      <c r="O180" s="77">
        <v>1.746031746031746</v>
      </c>
      <c r="P180" s="87"/>
      <c r="Q180" s="75">
        <v>1.0</v>
      </c>
      <c r="R180" s="75">
        <v>0.35714285714285715</v>
      </c>
      <c r="S180" s="42"/>
      <c r="T180" s="55"/>
      <c r="U180" s="56"/>
      <c r="V180" s="44"/>
      <c r="W180" s="44"/>
      <c r="X180" s="15"/>
    </row>
    <row r="181">
      <c r="A181" s="65" t="s">
        <v>563</v>
      </c>
      <c r="B181" s="57" t="s">
        <v>650</v>
      </c>
      <c r="C181" s="31" t="s">
        <v>98</v>
      </c>
      <c r="D181" s="72">
        <v>34.0</v>
      </c>
      <c r="E181" s="72">
        <v>9.0</v>
      </c>
      <c r="F181" s="84"/>
      <c r="G181" s="72">
        <v>14.0</v>
      </c>
      <c r="H181" s="72">
        <v>35.0</v>
      </c>
      <c r="I181" s="72">
        <v>15.0</v>
      </c>
      <c r="J181" s="86"/>
      <c r="K181" s="86"/>
      <c r="L181" s="86"/>
      <c r="M181" s="75">
        <v>0.42857142857142855</v>
      </c>
      <c r="N181" s="67">
        <v>0.30612244897959184</v>
      </c>
      <c r="O181" s="77">
        <v>1.75</v>
      </c>
      <c r="P181" s="87"/>
      <c r="Q181" s="75">
        <v>0.5882352941176471</v>
      </c>
      <c r="R181" s="75">
        <v>0.45</v>
      </c>
      <c r="S181" s="42"/>
      <c r="T181" s="55"/>
      <c r="U181" s="56"/>
      <c r="V181" s="44"/>
      <c r="W181" s="44"/>
      <c r="X181" s="15"/>
    </row>
    <row r="182">
      <c r="A182" s="65" t="s">
        <v>566</v>
      </c>
      <c r="B182" s="57" t="s">
        <v>651</v>
      </c>
      <c r="C182" s="66" t="s">
        <v>124</v>
      </c>
      <c r="D182" s="72">
        <v>21.0</v>
      </c>
      <c r="E182" s="72">
        <v>20.0</v>
      </c>
      <c r="F182" s="84"/>
      <c r="G182" s="72">
        <v>1.0</v>
      </c>
      <c r="H182" s="72">
        <v>107.0</v>
      </c>
      <c r="I182" s="72">
        <v>87.0</v>
      </c>
      <c r="J182" s="86"/>
      <c r="K182" s="86"/>
      <c r="L182" s="86"/>
      <c r="M182" s="75">
        <v>0.8130841121495327</v>
      </c>
      <c r="N182" s="67">
        <v>0.8055555555555556</v>
      </c>
      <c r="O182" s="77">
        <v>5.35</v>
      </c>
      <c r="P182" s="87"/>
      <c r="Q182" s="75">
        <v>0.9523809523809523</v>
      </c>
      <c r="R182" s="75">
        <v>1.0</v>
      </c>
      <c r="S182" s="42"/>
      <c r="T182" s="55"/>
      <c r="U182" s="56"/>
      <c r="V182" s="44"/>
      <c r="W182" s="44"/>
      <c r="X182" s="15"/>
    </row>
    <row r="183">
      <c r="A183" s="88" t="s">
        <v>574</v>
      </c>
      <c r="B183" s="47"/>
      <c r="C183" s="66" t="s">
        <v>31</v>
      </c>
      <c r="D183" s="72">
        <v>10.0</v>
      </c>
      <c r="E183" s="72">
        <v>8.0</v>
      </c>
      <c r="F183" s="84"/>
      <c r="G183" s="72">
        <v>2.0</v>
      </c>
      <c r="H183" s="72">
        <v>19.0</v>
      </c>
      <c r="I183" s="72">
        <v>11.0</v>
      </c>
      <c r="J183" s="86"/>
      <c r="K183" s="86"/>
      <c r="L183" s="86"/>
      <c r="M183" s="75">
        <v>0.5789473684210527</v>
      </c>
      <c r="N183" s="67">
        <v>0.5238095238095238</v>
      </c>
      <c r="O183" s="77">
        <v>2.375</v>
      </c>
      <c r="P183" s="87"/>
      <c r="Q183" s="75">
        <v>0.8</v>
      </c>
      <c r="R183" s="75">
        <v>1.0</v>
      </c>
      <c r="S183" s="42"/>
      <c r="T183" s="55"/>
      <c r="U183" s="56"/>
      <c r="V183" s="44"/>
      <c r="W183" s="44"/>
      <c r="X183" s="15"/>
    </row>
    <row r="184">
      <c r="A184" s="88" t="s">
        <v>579</v>
      </c>
      <c r="B184" s="47"/>
      <c r="C184" s="66" t="s">
        <v>33</v>
      </c>
      <c r="D184" s="72">
        <v>30.0</v>
      </c>
      <c r="E184" s="72">
        <v>6.0</v>
      </c>
      <c r="F184" s="84"/>
      <c r="G184" s="72">
        <v>14.0</v>
      </c>
      <c r="H184" s="72">
        <v>34.0</v>
      </c>
      <c r="I184" s="72">
        <v>18.0</v>
      </c>
      <c r="J184" s="86"/>
      <c r="K184" s="86"/>
      <c r="L184" s="86"/>
      <c r="M184" s="75">
        <v>0.5294117647058824</v>
      </c>
      <c r="N184" s="67">
        <v>0.375</v>
      </c>
      <c r="O184" s="77">
        <v>2.125</v>
      </c>
      <c r="P184" s="87"/>
      <c r="Q184" s="75">
        <v>0.5333333333333333</v>
      </c>
      <c r="R184" s="75">
        <v>0.375</v>
      </c>
      <c r="S184" s="42"/>
      <c r="T184" s="55"/>
      <c r="U184" s="56"/>
      <c r="V184" s="44"/>
      <c r="W184" s="44"/>
      <c r="X184" s="15"/>
    </row>
    <row r="185">
      <c r="A185" s="88" t="s">
        <v>586</v>
      </c>
      <c r="B185" s="57" t="s">
        <v>652</v>
      </c>
      <c r="C185" s="66" t="s">
        <v>33</v>
      </c>
      <c r="D185" s="72">
        <v>36.0</v>
      </c>
      <c r="E185" s="72">
        <v>25.0</v>
      </c>
      <c r="F185" s="84"/>
      <c r="G185" s="72">
        <v>8.0</v>
      </c>
      <c r="H185" s="72">
        <v>71.0</v>
      </c>
      <c r="I185" s="72">
        <v>43.0</v>
      </c>
      <c r="J185" s="86"/>
      <c r="K185" s="86"/>
      <c r="L185" s="86"/>
      <c r="M185" s="75">
        <v>0.6056338028169014</v>
      </c>
      <c r="N185" s="67">
        <v>0.5443037974683544</v>
      </c>
      <c r="O185" s="77">
        <v>2.5357142857142856</v>
      </c>
      <c r="P185" s="87"/>
      <c r="Q185" s="75">
        <v>0.7777777777777778</v>
      </c>
      <c r="R185" s="75">
        <v>0.8928571428571429</v>
      </c>
      <c r="S185" s="42"/>
      <c r="T185" s="55"/>
      <c r="U185" s="56"/>
      <c r="V185" s="44"/>
      <c r="W185" s="44"/>
      <c r="X185" s="15"/>
    </row>
    <row r="186">
      <c r="A186" s="65" t="s">
        <v>589</v>
      </c>
      <c r="B186" s="57" t="s">
        <v>653</v>
      </c>
      <c r="C186" s="66" t="s">
        <v>124</v>
      </c>
      <c r="D186" s="72">
        <v>22.0</v>
      </c>
      <c r="E186" s="72">
        <v>8.0</v>
      </c>
      <c r="F186" s="84"/>
      <c r="G186" s="72">
        <v>9.0</v>
      </c>
      <c r="H186" s="72">
        <v>30.0</v>
      </c>
      <c r="I186" s="72">
        <v>17.0</v>
      </c>
      <c r="J186" s="86"/>
      <c r="K186" s="86"/>
      <c r="L186" s="86"/>
      <c r="M186" s="75">
        <v>0.5666666666666667</v>
      </c>
      <c r="N186" s="67">
        <v>0.4358974358974359</v>
      </c>
      <c r="O186" s="77">
        <v>2.3076923076923075</v>
      </c>
      <c r="P186" s="87"/>
      <c r="Q186" s="75">
        <v>0.5909090909090909</v>
      </c>
      <c r="R186" s="75">
        <v>0.6153846153846154</v>
      </c>
      <c r="S186" s="42"/>
      <c r="T186" s="55"/>
      <c r="U186" s="56"/>
      <c r="V186" s="44"/>
      <c r="W186" s="44"/>
      <c r="X186" s="15"/>
    </row>
    <row r="187">
      <c r="A187" s="65" t="s">
        <v>590</v>
      </c>
      <c r="B187" s="47"/>
      <c r="C187" s="66" t="s">
        <v>31</v>
      </c>
      <c r="D187" s="72">
        <v>103.0</v>
      </c>
      <c r="E187" s="72">
        <v>1.0</v>
      </c>
      <c r="F187" s="84"/>
      <c r="G187" s="72">
        <v>27.0</v>
      </c>
      <c r="H187" s="72">
        <v>77.0</v>
      </c>
      <c r="I187" s="72">
        <v>1.0</v>
      </c>
      <c r="J187" s="86"/>
      <c r="K187" s="86"/>
      <c r="L187" s="86"/>
      <c r="M187" s="75">
        <v>0.012987012987012988</v>
      </c>
      <c r="N187" s="67">
        <v>0.009615384615384616</v>
      </c>
      <c r="O187" s="77">
        <v>1.013157894736842</v>
      </c>
      <c r="P187" s="87"/>
      <c r="Q187" s="75">
        <v>0.7378640776699029</v>
      </c>
      <c r="R187" s="75">
        <v>0.013157894736842105</v>
      </c>
      <c r="S187" s="42"/>
      <c r="T187" s="55"/>
      <c r="U187" s="56"/>
      <c r="V187" s="44"/>
      <c r="W187" s="44"/>
      <c r="X187" s="15"/>
    </row>
    <row r="188">
      <c r="A188" s="65" t="s">
        <v>591</v>
      </c>
      <c r="B188" s="57" t="s">
        <v>654</v>
      </c>
      <c r="C188" s="31" t="s">
        <v>42</v>
      </c>
      <c r="D188" s="72">
        <v>37.0</v>
      </c>
      <c r="E188" s="72">
        <v>1.0</v>
      </c>
      <c r="F188" s="84"/>
      <c r="G188" s="72">
        <v>16.0</v>
      </c>
      <c r="H188" s="72">
        <v>46.0</v>
      </c>
      <c r="I188" s="72">
        <v>25.0</v>
      </c>
      <c r="J188" s="86"/>
      <c r="K188" s="86"/>
      <c r="L188" s="86"/>
      <c r="M188" s="75">
        <v>0.5434782608695652</v>
      </c>
      <c r="N188" s="67">
        <v>0.4032258064516129</v>
      </c>
      <c r="O188" s="77">
        <v>2.1904761904761907</v>
      </c>
      <c r="P188" s="87"/>
      <c r="Q188" s="75">
        <v>0.5675675675675675</v>
      </c>
      <c r="R188" s="75">
        <v>0.047619047619047616</v>
      </c>
      <c r="S188" s="42"/>
      <c r="T188" s="55"/>
      <c r="U188" s="56"/>
      <c r="V188" s="44"/>
      <c r="W188" s="44"/>
      <c r="X188" s="15"/>
    </row>
    <row r="189">
      <c r="A189" s="65" t="s">
        <v>596</v>
      </c>
      <c r="B189" s="47"/>
      <c r="C189" s="31" t="s">
        <v>42</v>
      </c>
      <c r="D189" s="72">
        <v>11.0</v>
      </c>
      <c r="E189" s="72">
        <v>5.0</v>
      </c>
      <c r="F189" s="84"/>
      <c r="G189" s="72">
        <v>2.0</v>
      </c>
      <c r="H189" s="72">
        <v>18.0</v>
      </c>
      <c r="I189" s="72">
        <v>9.0</v>
      </c>
      <c r="J189" s="86"/>
      <c r="K189" s="86"/>
      <c r="L189" s="86"/>
      <c r="M189" s="75">
        <v>0.5</v>
      </c>
      <c r="N189" s="67">
        <v>0.45</v>
      </c>
      <c r="O189" s="77">
        <v>2.0</v>
      </c>
      <c r="P189" s="87"/>
      <c r="Q189" s="75">
        <v>0.8181818181818182</v>
      </c>
      <c r="R189" s="75">
        <v>0.5555555555555556</v>
      </c>
      <c r="S189" s="42"/>
      <c r="T189" s="55"/>
      <c r="U189" s="56"/>
      <c r="V189" s="44"/>
      <c r="W189" s="44"/>
      <c r="X189" s="15"/>
    </row>
    <row r="190">
      <c r="A190" s="65" t="s">
        <v>598</v>
      </c>
      <c r="B190" s="57" t="s">
        <v>655</v>
      </c>
      <c r="C190" s="66" t="s">
        <v>26</v>
      </c>
      <c r="D190" s="72">
        <v>21.0</v>
      </c>
      <c r="E190" s="72">
        <v>7.0</v>
      </c>
      <c r="F190" s="84"/>
      <c r="G190" s="72">
        <v>6.0</v>
      </c>
      <c r="H190" s="72">
        <v>24.0</v>
      </c>
      <c r="I190" s="72">
        <v>9.0</v>
      </c>
      <c r="J190" s="86"/>
      <c r="K190" s="86"/>
      <c r="L190" s="86"/>
      <c r="M190" s="75">
        <v>0.375</v>
      </c>
      <c r="N190" s="67">
        <v>0.3</v>
      </c>
      <c r="O190" s="77">
        <v>1.6</v>
      </c>
      <c r="P190" s="87"/>
      <c r="Q190" s="75">
        <v>0.7142857142857143</v>
      </c>
      <c r="R190" s="75">
        <v>0.4666666666666667</v>
      </c>
      <c r="S190" s="42"/>
      <c r="T190" s="55"/>
      <c r="U190" s="56"/>
      <c r="V190" s="44"/>
      <c r="W190" s="44"/>
      <c r="X190" s="15"/>
    </row>
    <row r="191">
      <c r="A191" s="65" t="s">
        <v>605</v>
      </c>
      <c r="B191" s="47"/>
      <c r="C191" s="66" t="s">
        <v>26</v>
      </c>
      <c r="D191" s="72">
        <v>208.0</v>
      </c>
      <c r="E191" s="72">
        <v>26.0</v>
      </c>
      <c r="F191" s="84"/>
      <c r="G191" s="72">
        <v>137.0</v>
      </c>
      <c r="H191" s="72">
        <v>169.0</v>
      </c>
      <c r="I191" s="72">
        <v>98.0</v>
      </c>
      <c r="J191" s="86"/>
      <c r="K191" s="86"/>
      <c r="L191" s="86"/>
      <c r="M191" s="75">
        <v>0.5798816568047337</v>
      </c>
      <c r="N191" s="67">
        <v>0.3202614379084967</v>
      </c>
      <c r="O191" s="77">
        <v>2.380281690140845</v>
      </c>
      <c r="P191" s="87"/>
      <c r="Q191" s="75">
        <v>0.34134615384615385</v>
      </c>
      <c r="R191" s="75">
        <v>0.36619718309859156</v>
      </c>
      <c r="S191" s="42"/>
      <c r="T191" s="55"/>
      <c r="U191" s="56"/>
      <c r="V191" s="44"/>
      <c r="W191" s="44"/>
      <c r="X191" s="15"/>
    </row>
    <row r="192">
      <c r="A192" s="88" t="s">
        <v>607</v>
      </c>
      <c r="B192" s="57" t="s">
        <v>656</v>
      </c>
      <c r="C192" s="31" t="s">
        <v>98</v>
      </c>
      <c r="D192" s="72">
        <v>58.0</v>
      </c>
      <c r="E192" s="72">
        <v>2.0</v>
      </c>
      <c r="F192" s="84"/>
      <c r="G192" s="72">
        <v>44.0</v>
      </c>
      <c r="H192" s="72">
        <v>19.0</v>
      </c>
      <c r="I192" s="72">
        <v>5.0</v>
      </c>
      <c r="J192" s="86"/>
      <c r="K192" s="86"/>
      <c r="L192" s="86"/>
      <c r="M192" s="75">
        <v>0.2631578947368421</v>
      </c>
      <c r="N192" s="67">
        <v>0.07936507936507936</v>
      </c>
      <c r="O192" s="77">
        <v>1.3571428571428572</v>
      </c>
      <c r="P192" s="87"/>
      <c r="Q192" s="75">
        <v>0.2413793103448276</v>
      </c>
      <c r="R192" s="75">
        <v>0.14285714285714285</v>
      </c>
      <c r="S192" s="42"/>
      <c r="T192" s="55"/>
      <c r="U192" s="56"/>
      <c r="V192" s="44"/>
      <c r="W192" s="44"/>
      <c r="X192" s="15"/>
    </row>
    <row r="193">
      <c r="A193" s="65" t="s">
        <v>608</v>
      </c>
      <c r="B193" s="57" t="s">
        <v>657</v>
      </c>
      <c r="C193" s="31" t="s">
        <v>46</v>
      </c>
      <c r="D193" s="72">
        <v>58.0</v>
      </c>
      <c r="E193" s="72">
        <v>15.0</v>
      </c>
      <c r="F193" s="84"/>
      <c r="G193" s="72">
        <v>30.0</v>
      </c>
      <c r="H193" s="72">
        <v>65.0</v>
      </c>
      <c r="I193" s="72">
        <v>37.0</v>
      </c>
      <c r="J193" s="86"/>
      <c r="K193" s="86"/>
      <c r="L193" s="86"/>
      <c r="M193" s="75">
        <v>0.5692307692307692</v>
      </c>
      <c r="N193" s="67">
        <v>0.3894736842105263</v>
      </c>
      <c r="O193" s="77">
        <v>2.3214285714285716</v>
      </c>
      <c r="P193" s="87"/>
      <c r="Q193" s="75">
        <v>0.4827586206896552</v>
      </c>
      <c r="R193" s="75">
        <v>0.5357142857142857</v>
      </c>
      <c r="S193" s="42"/>
      <c r="T193" s="55"/>
      <c r="U193" s="56"/>
      <c r="V193" s="44"/>
      <c r="W193" s="44"/>
      <c r="X193" s="15"/>
    </row>
    <row r="194">
      <c r="A194" s="65" t="s">
        <v>610</v>
      </c>
      <c r="B194" s="47"/>
      <c r="C194" s="31" t="s">
        <v>98</v>
      </c>
      <c r="D194" s="72">
        <v>60.0</v>
      </c>
      <c r="E194" s="72">
        <v>24.0</v>
      </c>
      <c r="F194" s="84"/>
      <c r="G194" s="72">
        <v>9.0</v>
      </c>
      <c r="H194" s="72">
        <v>121.0</v>
      </c>
      <c r="I194" s="72">
        <v>70.0</v>
      </c>
      <c r="J194" s="86"/>
      <c r="K194" s="86"/>
      <c r="L194" s="86"/>
      <c r="M194" s="75">
        <v>0.5785123966942148</v>
      </c>
      <c r="N194" s="67">
        <v>0.5384615384615384</v>
      </c>
      <c r="O194" s="77">
        <v>2.372549019607843</v>
      </c>
      <c r="P194" s="87"/>
      <c r="Q194" s="75">
        <v>0.85</v>
      </c>
      <c r="R194" s="75">
        <v>0.47058823529411764</v>
      </c>
      <c r="S194" s="42"/>
      <c r="T194" s="55"/>
      <c r="U194" s="56"/>
      <c r="V194" s="44"/>
      <c r="W194" s="44"/>
      <c r="X194" s="15"/>
    </row>
    <row r="195">
      <c r="A195" s="65" t="s">
        <v>612</v>
      </c>
      <c r="B195" s="47"/>
      <c r="C195" s="31" t="s">
        <v>98</v>
      </c>
      <c r="D195" s="72">
        <v>33.0</v>
      </c>
      <c r="E195" s="72">
        <v>8.0</v>
      </c>
      <c r="F195" s="84"/>
      <c r="G195" s="72">
        <v>15.0</v>
      </c>
      <c r="H195" s="72">
        <v>27.0</v>
      </c>
      <c r="I195" s="72">
        <v>9.0</v>
      </c>
      <c r="J195" s="86"/>
      <c r="K195" s="86"/>
      <c r="L195" s="86"/>
      <c r="M195" s="75">
        <v>0.3333333333333333</v>
      </c>
      <c r="N195" s="67">
        <v>0.21428571428571427</v>
      </c>
      <c r="O195" s="77">
        <v>1.5</v>
      </c>
      <c r="P195" s="87"/>
      <c r="Q195" s="75">
        <v>0.5454545454545454</v>
      </c>
      <c r="R195" s="75">
        <v>0.4444444444444444</v>
      </c>
      <c r="S195" s="42"/>
      <c r="T195" s="55"/>
      <c r="U195" s="88"/>
      <c r="V195" s="44"/>
      <c r="W195" s="44"/>
      <c r="X195" s="15"/>
    </row>
    <row r="196">
      <c r="A196" s="65" t="s">
        <v>613</v>
      </c>
      <c r="B196" s="47"/>
      <c r="C196" s="31" t="s">
        <v>98</v>
      </c>
      <c r="D196" s="72">
        <v>12.0</v>
      </c>
      <c r="E196" s="72">
        <v>4.0</v>
      </c>
      <c r="F196" s="84"/>
      <c r="G196" s="72">
        <v>4.0</v>
      </c>
      <c r="H196" s="72">
        <v>17.0</v>
      </c>
      <c r="I196" s="72">
        <v>9.0</v>
      </c>
      <c r="J196" s="86"/>
      <c r="K196" s="86"/>
      <c r="L196" s="86"/>
      <c r="M196" s="75">
        <v>0.5294117647058824</v>
      </c>
      <c r="N196" s="67">
        <v>0.42857142857142855</v>
      </c>
      <c r="O196" s="77">
        <v>2.125</v>
      </c>
      <c r="P196" s="87"/>
      <c r="Q196" s="75">
        <v>0.6666666666666666</v>
      </c>
      <c r="R196" s="75">
        <v>0.5</v>
      </c>
      <c r="S196" s="42"/>
      <c r="T196" s="55"/>
      <c r="U196" s="56"/>
      <c r="V196" s="44"/>
      <c r="W196" s="44"/>
      <c r="X196" s="15"/>
    </row>
    <row r="197">
      <c r="A197" s="65" t="s">
        <v>615</v>
      </c>
      <c r="B197" s="57" t="s">
        <v>658</v>
      </c>
      <c r="C197" s="66" t="s">
        <v>33</v>
      </c>
      <c r="D197" s="72">
        <v>122.0</v>
      </c>
      <c r="E197" s="72">
        <v>68.0</v>
      </c>
      <c r="F197" s="84"/>
      <c r="G197" s="72">
        <v>1.0</v>
      </c>
      <c r="H197" s="72">
        <v>274.0</v>
      </c>
      <c r="I197" s="72">
        <v>153.0</v>
      </c>
      <c r="J197" s="86"/>
      <c r="K197" s="86"/>
      <c r="L197" s="86"/>
      <c r="M197" s="75">
        <v>0.5583941605839416</v>
      </c>
      <c r="N197" s="67">
        <v>0.5563636363636364</v>
      </c>
      <c r="O197" s="77">
        <v>2.2644628099173554</v>
      </c>
      <c r="P197" s="87"/>
      <c r="Q197" s="75">
        <v>0.9918032786885246</v>
      </c>
      <c r="R197" s="75">
        <v>0.5619834710743802</v>
      </c>
      <c r="S197" s="42"/>
      <c r="T197" s="55"/>
      <c r="U197" s="56"/>
      <c r="V197" s="44"/>
      <c r="W197" s="44"/>
      <c r="X197" s="15"/>
    </row>
    <row r="198">
      <c r="A198" s="65" t="s">
        <v>621</v>
      </c>
      <c r="B198" s="57" t="s">
        <v>659</v>
      </c>
      <c r="C198" s="66" t="s">
        <v>31</v>
      </c>
      <c r="D198" s="72">
        <v>18.0</v>
      </c>
      <c r="E198" s="72">
        <v>3.0</v>
      </c>
      <c r="F198" s="84"/>
      <c r="G198" s="72">
        <v>4.0</v>
      </c>
      <c r="H198" s="72">
        <v>19.0</v>
      </c>
      <c r="I198" s="72">
        <v>5.0</v>
      </c>
      <c r="J198" s="86"/>
      <c r="K198" s="86"/>
      <c r="L198" s="86"/>
      <c r="M198" s="75">
        <v>0.2631578947368421</v>
      </c>
      <c r="N198" s="67">
        <v>0.21739130434782608</v>
      </c>
      <c r="O198" s="77">
        <v>1.3571428571428572</v>
      </c>
      <c r="P198" s="87"/>
      <c r="Q198" s="75">
        <v>0.7777777777777778</v>
      </c>
      <c r="R198" s="75">
        <v>0.21428571428571427</v>
      </c>
      <c r="S198" s="42"/>
      <c r="T198" s="43"/>
      <c r="U198" s="27"/>
      <c r="V198" s="44"/>
      <c r="W198" s="44"/>
      <c r="X198" s="15"/>
    </row>
    <row r="199">
      <c r="A199" s="65" t="s">
        <v>622</v>
      </c>
      <c r="B199" s="57" t="s">
        <v>660</v>
      </c>
      <c r="C199" s="31" t="s">
        <v>98</v>
      </c>
      <c r="D199" s="72">
        <v>38.0</v>
      </c>
      <c r="E199" s="72">
        <v>13.0</v>
      </c>
      <c r="F199" s="84"/>
      <c r="G199" s="72">
        <v>5.0</v>
      </c>
      <c r="H199" s="72">
        <v>68.0</v>
      </c>
      <c r="I199" s="72">
        <v>35.0</v>
      </c>
      <c r="J199" s="86"/>
      <c r="K199" s="86"/>
      <c r="L199" s="86"/>
      <c r="M199" s="75">
        <v>0.5147058823529411</v>
      </c>
      <c r="N199" s="67">
        <v>0.4794520547945205</v>
      </c>
      <c r="O199" s="77">
        <v>2.0606060606060606</v>
      </c>
      <c r="P199" s="87"/>
      <c r="Q199" s="75">
        <v>0.868421052631579</v>
      </c>
      <c r="R199" s="75">
        <v>0.3939393939393939</v>
      </c>
      <c r="S199" s="42"/>
      <c r="T199" s="55"/>
      <c r="U199" s="56"/>
      <c r="V199" s="44"/>
      <c r="W199" s="44"/>
      <c r="X199" s="15"/>
    </row>
    <row r="200">
      <c r="A200" s="65" t="s">
        <v>626</v>
      </c>
      <c r="B200" s="47"/>
      <c r="C200" s="31" t="s">
        <v>98</v>
      </c>
      <c r="D200" s="72">
        <v>14.0</v>
      </c>
      <c r="E200" s="72">
        <v>2.0</v>
      </c>
      <c r="F200" s="84"/>
      <c r="G200" s="72">
        <v>6.0</v>
      </c>
      <c r="H200" s="72">
        <v>10.0</v>
      </c>
      <c r="I200" s="72">
        <v>2.0</v>
      </c>
      <c r="J200" s="86"/>
      <c r="K200" s="86"/>
      <c r="L200" s="86"/>
      <c r="M200" s="75">
        <v>0.2</v>
      </c>
      <c r="N200" s="67">
        <v>0.125</v>
      </c>
      <c r="O200" s="77">
        <v>1.25</v>
      </c>
      <c r="P200" s="87"/>
      <c r="Q200" s="75">
        <v>0.5714285714285714</v>
      </c>
      <c r="R200" s="75">
        <v>0.25</v>
      </c>
      <c r="S200" s="42"/>
      <c r="T200" s="55"/>
      <c r="U200" s="56"/>
      <c r="V200" s="44"/>
      <c r="W200" s="44"/>
      <c r="X200" s="15"/>
    </row>
    <row r="201">
      <c r="A201" s="65" t="s">
        <v>627</v>
      </c>
      <c r="B201" s="47"/>
      <c r="C201" s="31" t="s">
        <v>98</v>
      </c>
      <c r="D201" s="72">
        <v>23.0</v>
      </c>
      <c r="E201" s="72">
        <v>4.0</v>
      </c>
      <c r="F201" s="84"/>
      <c r="G201" s="72">
        <v>12.0</v>
      </c>
      <c r="H201" s="72">
        <v>26.0</v>
      </c>
      <c r="I201" s="72">
        <v>15.0</v>
      </c>
      <c r="J201" s="86"/>
      <c r="K201" s="86"/>
      <c r="L201" s="86"/>
      <c r="M201" s="75">
        <v>0.5769230769230769</v>
      </c>
      <c r="N201" s="67">
        <v>0.39473684210526316</v>
      </c>
      <c r="O201" s="77">
        <v>2.3636363636363638</v>
      </c>
      <c r="P201" s="87"/>
      <c r="Q201" s="75">
        <v>0.4782608695652174</v>
      </c>
      <c r="R201" s="75">
        <v>0.36363636363636365</v>
      </c>
      <c r="S201" s="42"/>
      <c r="T201" s="55"/>
      <c r="U201" s="56"/>
      <c r="V201" s="44"/>
      <c r="W201" s="44"/>
      <c r="X201" s="15"/>
    </row>
    <row r="202">
      <c r="A202" s="27" t="s">
        <v>623</v>
      </c>
      <c r="B202" s="47"/>
      <c r="C202" s="31" t="s">
        <v>26</v>
      </c>
      <c r="D202" s="48">
        <v>54.0</v>
      </c>
      <c r="E202" s="48">
        <v>13.0</v>
      </c>
      <c r="F202" s="51"/>
      <c r="G202" s="48">
        <v>5.0</v>
      </c>
      <c r="H202" s="48">
        <v>68.0</v>
      </c>
      <c r="I202" s="48">
        <v>35.0</v>
      </c>
      <c r="J202" s="36"/>
      <c r="K202" s="36"/>
      <c r="L202" s="36"/>
      <c r="M202" s="37">
        <v>0.5147058823529411</v>
      </c>
      <c r="N202" s="54">
        <v>0.4794520547945205</v>
      </c>
      <c r="O202" s="39">
        <v>2.0606060606060606</v>
      </c>
      <c r="P202" s="41"/>
      <c r="Q202" s="37">
        <v>0.868421052631579</v>
      </c>
      <c r="R202" s="37">
        <v>0.3939393939393939</v>
      </c>
      <c r="S202" s="42"/>
      <c r="T202" s="55"/>
      <c r="U202" s="56"/>
      <c r="V202" s="44"/>
      <c r="W202" s="44"/>
      <c r="X202" s="15"/>
    </row>
    <row r="203">
      <c r="A203" s="27" t="s">
        <v>360</v>
      </c>
      <c r="B203" s="29" t="s">
        <v>661</v>
      </c>
      <c r="C203" s="31" t="s">
        <v>26</v>
      </c>
      <c r="D203" s="32">
        <v>28.0</v>
      </c>
      <c r="E203" s="32">
        <v>18.0</v>
      </c>
      <c r="F203" s="34">
        <v>9.0</v>
      </c>
      <c r="G203" s="32">
        <v>1.0</v>
      </c>
      <c r="H203" s="32">
        <v>64.0</v>
      </c>
      <c r="I203" s="32">
        <v>37.0</v>
      </c>
      <c r="J203" s="36">
        <v>0.6429</v>
      </c>
      <c r="K203" s="36">
        <v>0.3214</v>
      </c>
      <c r="L203" s="36">
        <v>0.0357</v>
      </c>
      <c r="M203" s="37">
        <v>0.6087</v>
      </c>
      <c r="N203" s="38">
        <v>0.5781</v>
      </c>
      <c r="O203" s="39">
        <v>2.37</v>
      </c>
      <c r="P203" s="41">
        <v>2.29</v>
      </c>
      <c r="Q203" s="37">
        <v>0.9643</v>
      </c>
      <c r="R203" s="37">
        <v>0.6667</v>
      </c>
      <c r="S203" s="42"/>
      <c r="T203" s="55"/>
      <c r="U203" s="56"/>
      <c r="V203" s="44"/>
      <c r="W203" s="44"/>
      <c r="X203" s="15"/>
    </row>
    <row r="204">
      <c r="A204" s="27" t="s">
        <v>262</v>
      </c>
      <c r="B204" s="57" t="s">
        <v>662</v>
      </c>
      <c r="C204" s="31" t="s">
        <v>31</v>
      </c>
      <c r="D204" s="48">
        <v>13.0</v>
      </c>
      <c r="E204" s="48">
        <v>2.0</v>
      </c>
      <c r="F204" s="51">
        <v>2.0</v>
      </c>
      <c r="G204" s="48">
        <v>9.0</v>
      </c>
      <c r="H204" s="48">
        <v>43.0</v>
      </c>
      <c r="I204" s="48">
        <v>39.0</v>
      </c>
      <c r="J204" s="36">
        <v>0.15380000000000002</v>
      </c>
      <c r="K204" s="36">
        <v>0.15380000000000002</v>
      </c>
      <c r="L204" s="36">
        <v>0.6923</v>
      </c>
      <c r="M204" s="37">
        <v>0.907</v>
      </c>
      <c r="N204" s="54" t="s">
        <v>34</v>
      </c>
      <c r="O204" s="39">
        <v>10.75</v>
      </c>
      <c r="P204" s="41">
        <v>3.31</v>
      </c>
      <c r="Q204" s="37">
        <v>0.3077</v>
      </c>
      <c r="R204" s="37">
        <v>0.5</v>
      </c>
      <c r="S204" s="42"/>
      <c r="T204" s="55"/>
      <c r="U204" s="56"/>
      <c r="V204" s="44"/>
      <c r="W204" s="44"/>
      <c r="X204" s="15"/>
    </row>
    <row r="205">
      <c r="A205" s="27" t="s">
        <v>313</v>
      </c>
      <c r="B205" s="57" t="s">
        <v>663</v>
      </c>
      <c r="C205" s="31" t="s">
        <v>42</v>
      </c>
      <c r="D205" s="48">
        <v>12.0</v>
      </c>
      <c r="E205" s="48">
        <v>1.0</v>
      </c>
      <c r="F205" s="51">
        <v>4.0</v>
      </c>
      <c r="G205" s="48">
        <v>7.0</v>
      </c>
      <c r="H205" s="48">
        <v>6.0</v>
      </c>
      <c r="I205" s="48">
        <v>1.0</v>
      </c>
      <c r="J205" s="36">
        <v>0.0833</v>
      </c>
      <c r="K205" s="36">
        <v>0.3333</v>
      </c>
      <c r="L205" s="36">
        <v>0.5833</v>
      </c>
      <c r="M205" s="37">
        <v>0.1667</v>
      </c>
      <c r="N205" s="54" t="s">
        <v>34</v>
      </c>
      <c r="O205" s="39">
        <v>1.2</v>
      </c>
      <c r="P205" s="41">
        <v>0.5</v>
      </c>
      <c r="Q205" s="37">
        <v>0.4167</v>
      </c>
      <c r="R205" s="37">
        <v>0.2</v>
      </c>
      <c r="S205" s="42"/>
      <c r="T205" s="55"/>
      <c r="U205" s="56"/>
      <c r="V205" s="44"/>
      <c r="W205" s="44"/>
      <c r="X205" s="15"/>
    </row>
    <row r="206">
      <c r="A206" s="27" t="s">
        <v>397</v>
      </c>
      <c r="B206" s="57" t="s">
        <v>664</v>
      </c>
      <c r="C206" s="31" t="s">
        <v>46</v>
      </c>
      <c r="D206" s="48">
        <v>147.0</v>
      </c>
      <c r="E206" s="48">
        <v>116.0</v>
      </c>
      <c r="F206" s="51">
        <v>26.0</v>
      </c>
      <c r="G206" s="48">
        <v>5.0</v>
      </c>
      <c r="H206" s="48">
        <v>513.0</v>
      </c>
      <c r="I206" s="48">
        <v>371.0</v>
      </c>
      <c r="J206" s="36">
        <v>0.7891</v>
      </c>
      <c r="K206" s="36">
        <v>0.1769</v>
      </c>
      <c r="L206" s="36">
        <v>0.034</v>
      </c>
      <c r="M206" s="37">
        <v>0.7232</v>
      </c>
      <c r="N206" s="54" t="s">
        <v>34</v>
      </c>
      <c r="O206" s="39">
        <v>3.61267605633802</v>
      </c>
      <c r="P206" s="41">
        <v>3.48979591836734</v>
      </c>
      <c r="Q206" s="37">
        <v>0.966</v>
      </c>
      <c r="R206" s="37">
        <v>0.8169</v>
      </c>
      <c r="S206" s="42"/>
      <c r="T206" s="55"/>
      <c r="U206" s="56"/>
      <c r="V206" s="44"/>
      <c r="W206" s="44"/>
      <c r="X206" s="15"/>
    </row>
    <row r="207">
      <c r="A207" s="27" t="s">
        <v>436</v>
      </c>
      <c r="B207" s="47"/>
      <c r="C207" s="31" t="s">
        <v>26</v>
      </c>
      <c r="D207" s="48">
        <v>197.0</v>
      </c>
      <c r="E207" s="48">
        <v>55.0</v>
      </c>
      <c r="F207" s="51">
        <v>78.0</v>
      </c>
      <c r="G207" s="48">
        <v>64.0</v>
      </c>
      <c r="H207" s="48">
        <v>269.0</v>
      </c>
      <c r="I207" s="48">
        <v>136.0</v>
      </c>
      <c r="J207" s="36">
        <v>0.2792</v>
      </c>
      <c r="K207" s="36">
        <v>0.3959</v>
      </c>
      <c r="L207" s="36">
        <v>0.3249</v>
      </c>
      <c r="M207" s="37">
        <v>0.5056</v>
      </c>
      <c r="N207" s="54" t="s">
        <v>34</v>
      </c>
      <c r="O207" s="39">
        <v>2.02255639097744</v>
      </c>
      <c r="P207" s="41">
        <v>1.36548223350253</v>
      </c>
      <c r="Q207" s="37">
        <v>0.6751</v>
      </c>
      <c r="R207" s="37">
        <v>0.4135</v>
      </c>
      <c r="S207" s="42"/>
      <c r="T207" s="55"/>
      <c r="U207" s="56"/>
      <c r="V207" s="44"/>
      <c r="W207" s="44"/>
      <c r="X207" s="15"/>
    </row>
    <row r="208">
      <c r="A208" s="27" t="s">
        <v>539</v>
      </c>
      <c r="B208" s="57" t="s">
        <v>665</v>
      </c>
      <c r="C208" s="31" t="s">
        <v>55</v>
      </c>
      <c r="D208" s="32">
        <v>61.0</v>
      </c>
      <c r="E208" s="32">
        <v>17.0</v>
      </c>
      <c r="F208" s="34">
        <v>29.0</v>
      </c>
      <c r="G208" s="32">
        <v>15.0</v>
      </c>
      <c r="H208" s="32">
        <v>86.0</v>
      </c>
      <c r="I208" s="32">
        <v>40.0</v>
      </c>
      <c r="J208" s="36">
        <v>0.2787</v>
      </c>
      <c r="K208" s="36">
        <v>0.4754</v>
      </c>
      <c r="L208" s="36">
        <v>0.2459</v>
      </c>
      <c r="M208" s="37">
        <v>0.4458</v>
      </c>
      <c r="N208" s="38">
        <v>0.4651</v>
      </c>
      <c r="O208" s="39">
        <v>1.87</v>
      </c>
      <c r="P208" s="41">
        <v>1.41</v>
      </c>
      <c r="Q208" s="37">
        <v>0.7541</v>
      </c>
      <c r="R208" s="37">
        <v>0.3696</v>
      </c>
      <c r="S208" s="70"/>
      <c r="T208" s="55"/>
      <c r="U208" s="56"/>
      <c r="V208" s="44"/>
      <c r="W208" s="44"/>
      <c r="X208" s="15"/>
    </row>
    <row r="209">
      <c r="A209" s="27" t="s">
        <v>277</v>
      </c>
      <c r="B209" s="57" t="s">
        <v>666</v>
      </c>
      <c r="C209" s="31" t="s">
        <v>26</v>
      </c>
      <c r="D209" s="48">
        <v>139.0</v>
      </c>
      <c r="E209" s="48">
        <v>48.0</v>
      </c>
      <c r="F209" s="51">
        <v>53.0</v>
      </c>
      <c r="G209" s="48">
        <v>38.0</v>
      </c>
      <c r="H209" s="48">
        <v>250.0</v>
      </c>
      <c r="I209" s="48">
        <v>149.0</v>
      </c>
      <c r="J209" s="36">
        <v>0.3453</v>
      </c>
      <c r="K209" s="36">
        <v>0.3813</v>
      </c>
      <c r="L209" s="36">
        <v>0.2734</v>
      </c>
      <c r="M209" s="37">
        <v>0.596</v>
      </c>
      <c r="N209" s="54" t="s">
        <v>34</v>
      </c>
      <c r="O209" s="39">
        <v>2.47524752475247</v>
      </c>
      <c r="P209" s="41">
        <v>1.79856115107913</v>
      </c>
      <c r="Q209" s="37">
        <v>0.7266</v>
      </c>
      <c r="R209" s="37">
        <v>0.4752</v>
      </c>
      <c r="S209" s="42"/>
      <c r="T209" s="55"/>
      <c r="U209" s="56"/>
      <c r="V209" s="44"/>
      <c r="W209" s="44"/>
      <c r="X209" s="15"/>
    </row>
    <row r="210">
      <c r="A210" s="27" t="s">
        <v>358</v>
      </c>
      <c r="B210" s="57" t="s">
        <v>667</v>
      </c>
      <c r="C210" s="31" t="s">
        <v>26</v>
      </c>
      <c r="D210" s="48">
        <v>142.0</v>
      </c>
      <c r="E210" s="48">
        <v>26.0</v>
      </c>
      <c r="F210" s="51">
        <v>68.0</v>
      </c>
      <c r="G210" s="48">
        <v>48.0</v>
      </c>
      <c r="H210" s="48">
        <v>149.0</v>
      </c>
      <c r="I210" s="48">
        <v>55.0</v>
      </c>
      <c r="J210" s="36">
        <v>0.18309999999999998</v>
      </c>
      <c r="K210" s="36">
        <v>0.4789</v>
      </c>
      <c r="L210" s="36">
        <v>0.33799999999999997</v>
      </c>
      <c r="M210" s="37">
        <v>0.3691</v>
      </c>
      <c r="N210" s="54" t="s">
        <v>34</v>
      </c>
      <c r="O210" s="39">
        <v>1.59</v>
      </c>
      <c r="P210" s="41">
        <v>1.05</v>
      </c>
      <c r="Q210" s="37">
        <v>0.662</v>
      </c>
      <c r="R210" s="37">
        <v>0.2766</v>
      </c>
      <c r="S210" s="42"/>
      <c r="T210" s="55"/>
      <c r="U210" s="56"/>
      <c r="V210" s="44"/>
      <c r="W210" s="44"/>
      <c r="X210" s="15"/>
    </row>
    <row r="211">
      <c r="A211" s="27" t="s">
        <v>270</v>
      </c>
      <c r="B211" s="57" t="s">
        <v>668</v>
      </c>
      <c r="C211" s="31" t="s">
        <v>31</v>
      </c>
      <c r="D211" s="48">
        <v>68.0</v>
      </c>
      <c r="E211" s="48">
        <v>6.0</v>
      </c>
      <c r="F211" s="51">
        <v>27.0</v>
      </c>
      <c r="G211" s="48">
        <v>35.0</v>
      </c>
      <c r="H211" s="48">
        <v>43.0</v>
      </c>
      <c r="I211" s="48">
        <v>10.0</v>
      </c>
      <c r="J211" s="36">
        <v>0.0882</v>
      </c>
      <c r="K211" s="36">
        <v>0.3971</v>
      </c>
      <c r="L211" s="36">
        <v>0.5146999999999999</v>
      </c>
      <c r="M211" s="37">
        <v>0.23260000000000003</v>
      </c>
      <c r="N211" s="54" t="s">
        <v>34</v>
      </c>
      <c r="O211" s="39">
        <v>1.3</v>
      </c>
      <c r="P211" s="41">
        <v>0.63</v>
      </c>
      <c r="Q211" s="37">
        <v>0.4853</v>
      </c>
      <c r="R211" s="37">
        <v>0.1818</v>
      </c>
      <c r="S211" s="42"/>
      <c r="T211" s="43"/>
      <c r="U211" s="56"/>
      <c r="V211" s="44"/>
      <c r="W211" s="44"/>
      <c r="X211" s="15"/>
    </row>
    <row r="212">
      <c r="A212" s="27" t="s">
        <v>464</v>
      </c>
      <c r="B212" s="57" t="s">
        <v>669</v>
      </c>
      <c r="C212" s="31" t="s">
        <v>31</v>
      </c>
      <c r="D212" s="48">
        <v>16.0</v>
      </c>
      <c r="E212" s="48">
        <v>4.0</v>
      </c>
      <c r="F212" s="51">
        <v>6.0</v>
      </c>
      <c r="G212" s="48">
        <v>6.0</v>
      </c>
      <c r="H212" s="48">
        <v>20.0</v>
      </c>
      <c r="I212" s="48">
        <v>10.0</v>
      </c>
      <c r="J212" s="36">
        <v>0.25</v>
      </c>
      <c r="K212" s="36">
        <v>0.375</v>
      </c>
      <c r="L212" s="36">
        <v>0.375</v>
      </c>
      <c r="M212" s="37">
        <v>0.5</v>
      </c>
      <c r="N212" s="54" t="s">
        <v>34</v>
      </c>
      <c r="O212" s="39">
        <v>2.0</v>
      </c>
      <c r="P212" s="41">
        <v>1.25</v>
      </c>
      <c r="Q212" s="37">
        <v>0.625</v>
      </c>
      <c r="R212" s="37">
        <v>0.4</v>
      </c>
      <c r="S212" s="42"/>
      <c r="T212" s="55"/>
      <c r="U212" s="56"/>
      <c r="V212" s="44"/>
      <c r="W212" s="44"/>
      <c r="X212" s="15"/>
    </row>
    <row r="213">
      <c r="A213" s="27" t="s">
        <v>329</v>
      </c>
      <c r="B213" s="57" t="s">
        <v>670</v>
      </c>
      <c r="C213" s="31" t="s">
        <v>46</v>
      </c>
      <c r="D213" s="48">
        <v>209.0</v>
      </c>
      <c r="E213" s="48">
        <v>47.0</v>
      </c>
      <c r="F213" s="51">
        <v>80.0</v>
      </c>
      <c r="G213" s="48">
        <v>82.0</v>
      </c>
      <c r="H213" s="48">
        <v>436.0</v>
      </c>
      <c r="I213" s="48">
        <v>309.0</v>
      </c>
      <c r="J213" s="36">
        <v>0.2249</v>
      </c>
      <c r="K213" s="36">
        <v>0.3828</v>
      </c>
      <c r="L213" s="36">
        <v>0.3923</v>
      </c>
      <c r="M213" s="37">
        <v>0.7087</v>
      </c>
      <c r="N213" s="54" t="s">
        <v>34</v>
      </c>
      <c r="O213" s="39">
        <v>3.43307086614173</v>
      </c>
      <c r="P213" s="41">
        <v>2.08612440191387</v>
      </c>
      <c r="Q213" s="37">
        <v>0.6077</v>
      </c>
      <c r="R213" s="37">
        <v>0.3701</v>
      </c>
      <c r="S213" s="42"/>
      <c r="T213" s="55"/>
      <c r="U213" s="56"/>
      <c r="V213" s="44"/>
      <c r="W213" s="44"/>
      <c r="X213" s="15"/>
    </row>
    <row r="214">
      <c r="A214" s="27" t="s">
        <v>303</v>
      </c>
      <c r="B214" s="47"/>
      <c r="C214" s="31" t="s">
        <v>26</v>
      </c>
      <c r="D214" s="48">
        <v>27.0</v>
      </c>
      <c r="E214" s="48">
        <v>0.0</v>
      </c>
      <c r="F214" s="51">
        <v>5.0</v>
      </c>
      <c r="G214" s="48">
        <v>22.0</v>
      </c>
      <c r="H214" s="48">
        <v>5.0</v>
      </c>
      <c r="I214" s="48">
        <v>0.0</v>
      </c>
      <c r="J214" s="36">
        <v>0.0</v>
      </c>
      <c r="K214" s="36">
        <v>0.1852</v>
      </c>
      <c r="L214" s="36">
        <v>0.8148</v>
      </c>
      <c r="M214" s="37">
        <v>0.0</v>
      </c>
      <c r="N214" s="54" t="s">
        <v>34</v>
      </c>
      <c r="O214" s="39">
        <v>1.0</v>
      </c>
      <c r="P214" s="41">
        <v>0.185185185185185</v>
      </c>
      <c r="Q214" s="37">
        <v>0.1852</v>
      </c>
      <c r="R214" s="37">
        <v>0.0</v>
      </c>
      <c r="S214" s="42"/>
      <c r="T214" s="55"/>
      <c r="U214" s="56"/>
      <c r="V214" s="44"/>
      <c r="W214" s="44"/>
      <c r="X214" s="15"/>
    </row>
    <row r="215">
      <c r="A215" s="27" t="s">
        <v>487</v>
      </c>
      <c r="B215" s="57" t="s">
        <v>671</v>
      </c>
      <c r="C215" s="31" t="s">
        <v>42</v>
      </c>
      <c r="D215" s="48">
        <v>46.0</v>
      </c>
      <c r="E215" s="48">
        <v>10.0</v>
      </c>
      <c r="F215" s="51">
        <v>32.0</v>
      </c>
      <c r="G215" s="48">
        <v>4.0</v>
      </c>
      <c r="H215" s="48">
        <v>69.0</v>
      </c>
      <c r="I215" s="48">
        <v>27.0</v>
      </c>
      <c r="J215" s="36">
        <v>0.2174</v>
      </c>
      <c r="K215" s="36">
        <v>0.6957</v>
      </c>
      <c r="L215" s="36">
        <v>0.087</v>
      </c>
      <c r="M215" s="37">
        <v>0.3913</v>
      </c>
      <c r="N215" s="54" t="s">
        <v>34</v>
      </c>
      <c r="O215" s="39">
        <v>1.64</v>
      </c>
      <c r="P215" s="41">
        <v>1.5</v>
      </c>
      <c r="Q215" s="37">
        <v>0.913</v>
      </c>
      <c r="R215" s="37">
        <v>0.2381</v>
      </c>
      <c r="S215" s="42"/>
      <c r="T215" s="55"/>
      <c r="U215" s="56"/>
      <c r="V215" s="44"/>
      <c r="W215" s="44"/>
      <c r="X215" s="15"/>
    </row>
    <row r="216">
      <c r="A216" s="27" t="s">
        <v>238</v>
      </c>
      <c r="B216" s="29" t="s">
        <v>672</v>
      </c>
      <c r="C216" s="31" t="s">
        <v>46</v>
      </c>
      <c r="D216" s="32">
        <v>132.0</v>
      </c>
      <c r="E216" s="32">
        <v>71.0</v>
      </c>
      <c r="F216" s="34">
        <v>37.0</v>
      </c>
      <c r="G216" s="32">
        <v>24.0</v>
      </c>
      <c r="H216" s="32">
        <v>248.0</v>
      </c>
      <c r="I216" s="32">
        <v>140.0</v>
      </c>
      <c r="J216" s="36">
        <v>0.5379</v>
      </c>
      <c r="K216" s="36">
        <v>0.2803</v>
      </c>
      <c r="L216" s="36">
        <v>0.1818</v>
      </c>
      <c r="M216" s="37">
        <v>0.4025</v>
      </c>
      <c r="N216" s="38">
        <v>0.5645</v>
      </c>
      <c r="O216" s="39">
        <v>2.3</v>
      </c>
      <c r="P216" s="41">
        <v>1.88</v>
      </c>
      <c r="Q216" s="37">
        <v>0.8182</v>
      </c>
      <c r="R216" s="37">
        <v>0.6574</v>
      </c>
      <c r="S216" s="42"/>
      <c r="T216" s="55"/>
      <c r="U216" s="56"/>
      <c r="V216" s="44"/>
      <c r="W216" s="44"/>
      <c r="X216" s="15"/>
    </row>
    <row r="217">
      <c r="A217" s="27" t="s">
        <v>393</v>
      </c>
      <c r="B217" s="57" t="s">
        <v>673</v>
      </c>
      <c r="C217" s="31" t="s">
        <v>31</v>
      </c>
      <c r="D217" s="48">
        <v>57.0</v>
      </c>
      <c r="E217" s="48">
        <v>8.0</v>
      </c>
      <c r="F217" s="51">
        <v>15.0</v>
      </c>
      <c r="G217" s="48">
        <v>34.0</v>
      </c>
      <c r="H217" s="48">
        <v>48.0</v>
      </c>
      <c r="I217" s="48">
        <v>25.0</v>
      </c>
      <c r="J217" s="36">
        <v>0.1404</v>
      </c>
      <c r="K217" s="36">
        <v>0.2632</v>
      </c>
      <c r="L217" s="36">
        <v>0.5965</v>
      </c>
      <c r="M217" s="37">
        <v>0.5207999999999999</v>
      </c>
      <c r="N217" s="54" t="s">
        <v>34</v>
      </c>
      <c r="O217" s="39">
        <v>2.09</v>
      </c>
      <c r="P217" s="41">
        <v>0.84</v>
      </c>
      <c r="Q217" s="37">
        <v>0.4035</v>
      </c>
      <c r="R217" s="37">
        <v>0.3478</v>
      </c>
      <c r="S217" s="42"/>
      <c r="T217" s="55"/>
      <c r="U217" s="56"/>
      <c r="V217" s="44"/>
      <c r="W217" s="44"/>
      <c r="X217" s="15"/>
    </row>
    <row r="218">
      <c r="A218" s="27" t="s">
        <v>237</v>
      </c>
      <c r="B218" s="47"/>
      <c r="C218" s="31" t="s">
        <v>98</v>
      </c>
      <c r="D218" s="48">
        <v>48.0</v>
      </c>
      <c r="E218" s="48">
        <v>17.0</v>
      </c>
      <c r="F218" s="51">
        <v>6.0</v>
      </c>
      <c r="G218" s="48">
        <v>25.0</v>
      </c>
      <c r="H218" s="48">
        <v>59.0</v>
      </c>
      <c r="I218" s="48">
        <v>36.0</v>
      </c>
      <c r="J218" s="36">
        <v>0.3542</v>
      </c>
      <c r="K218" s="36">
        <v>0.125</v>
      </c>
      <c r="L218" s="36">
        <v>0.5208</v>
      </c>
      <c r="M218" s="37">
        <v>0.6102</v>
      </c>
      <c r="N218" s="54" t="s">
        <v>34</v>
      </c>
      <c r="O218" s="39">
        <v>2.57</v>
      </c>
      <c r="P218" s="41">
        <v>1.23</v>
      </c>
      <c r="Q218" s="37">
        <v>0.4792</v>
      </c>
      <c r="R218" s="37">
        <v>0.7391</v>
      </c>
      <c r="S218" s="42"/>
      <c r="T218" s="55"/>
      <c r="U218" s="56"/>
      <c r="V218" s="44"/>
      <c r="W218" s="44"/>
      <c r="X218" s="15"/>
    </row>
    <row r="219">
      <c r="A219" s="27" t="s">
        <v>186</v>
      </c>
      <c r="B219" s="57" t="s">
        <v>674</v>
      </c>
      <c r="C219" s="31" t="s">
        <v>46</v>
      </c>
      <c r="D219" s="48">
        <v>28.0</v>
      </c>
      <c r="E219" s="48">
        <v>8.0</v>
      </c>
      <c r="F219" s="51">
        <v>13.0</v>
      </c>
      <c r="G219" s="48">
        <v>7.0</v>
      </c>
      <c r="H219" s="48">
        <v>38.0</v>
      </c>
      <c r="I219" s="48">
        <v>17.0</v>
      </c>
      <c r="J219" s="36">
        <v>0.2857</v>
      </c>
      <c r="K219" s="36">
        <v>0.4643</v>
      </c>
      <c r="L219" s="36">
        <v>0.25</v>
      </c>
      <c r="M219" s="37">
        <v>0.4474</v>
      </c>
      <c r="N219" s="54" t="s">
        <v>34</v>
      </c>
      <c r="O219" s="39">
        <v>1.81</v>
      </c>
      <c r="P219" s="41">
        <v>1.36</v>
      </c>
      <c r="Q219" s="37">
        <v>0.75</v>
      </c>
      <c r="R219" s="37">
        <v>0.381</v>
      </c>
      <c r="S219" s="42"/>
      <c r="T219" s="55"/>
      <c r="U219" s="56"/>
      <c r="V219" s="44"/>
      <c r="W219" s="44"/>
      <c r="X219" s="15"/>
    </row>
    <row r="220">
      <c r="A220" s="27" t="s">
        <v>617</v>
      </c>
      <c r="B220" s="57" t="s">
        <v>675</v>
      </c>
      <c r="C220" s="31" t="s">
        <v>31</v>
      </c>
      <c r="D220" s="48">
        <v>494.0</v>
      </c>
      <c r="E220" s="48">
        <v>111.0</v>
      </c>
      <c r="F220" s="51">
        <v>174.0</v>
      </c>
      <c r="G220" s="48">
        <v>209.0</v>
      </c>
      <c r="H220" s="48">
        <v>1063.0</v>
      </c>
      <c r="I220" s="48">
        <v>778.0</v>
      </c>
      <c r="J220" s="36">
        <v>0.2247</v>
      </c>
      <c r="K220" s="36">
        <v>0.3522</v>
      </c>
      <c r="L220" s="36">
        <v>0.4231</v>
      </c>
      <c r="M220" s="37">
        <v>0.7319</v>
      </c>
      <c r="N220" s="54" t="s">
        <v>34</v>
      </c>
      <c r="O220" s="39">
        <v>3.7298245614035</v>
      </c>
      <c r="P220" s="41">
        <v>2.15182186234817</v>
      </c>
      <c r="Q220" s="37">
        <v>0.5769</v>
      </c>
      <c r="R220" s="37">
        <v>0.3895</v>
      </c>
      <c r="S220" s="42"/>
      <c r="T220" s="55"/>
      <c r="U220" s="56"/>
      <c r="V220" s="44"/>
      <c r="W220" s="44"/>
      <c r="X220" s="15"/>
    </row>
    <row r="221">
      <c r="A221" s="27" t="s">
        <v>221</v>
      </c>
      <c r="B221" s="57" t="s">
        <v>676</v>
      </c>
      <c r="C221" s="31" t="s">
        <v>31</v>
      </c>
      <c r="D221" s="48">
        <v>92.0</v>
      </c>
      <c r="E221" s="48">
        <v>13.0</v>
      </c>
      <c r="F221" s="51">
        <v>17.0</v>
      </c>
      <c r="G221" s="48">
        <v>62.0</v>
      </c>
      <c r="H221" s="48">
        <v>62.0</v>
      </c>
      <c r="I221" s="48">
        <v>32.0</v>
      </c>
      <c r="J221" s="36">
        <v>0.1413</v>
      </c>
      <c r="K221" s="36">
        <v>0.1848</v>
      </c>
      <c r="L221" s="36">
        <v>0.6739</v>
      </c>
      <c r="M221" s="37">
        <v>0.5161</v>
      </c>
      <c r="N221" s="54" t="s">
        <v>34</v>
      </c>
      <c r="O221" s="39">
        <v>2.06666666666666</v>
      </c>
      <c r="P221" s="41">
        <v>0.67391304347826</v>
      </c>
      <c r="Q221" s="37">
        <v>0.3261</v>
      </c>
      <c r="R221" s="37">
        <v>0.4333</v>
      </c>
      <c r="S221" s="42"/>
      <c r="T221" s="55"/>
      <c r="U221" s="56"/>
      <c r="V221" s="44"/>
      <c r="W221" s="44"/>
      <c r="X221" s="15"/>
    </row>
    <row r="222">
      <c r="A222" s="27" t="s">
        <v>118</v>
      </c>
      <c r="B222" s="57" t="s">
        <v>677</v>
      </c>
      <c r="C222" s="31" t="s">
        <v>31</v>
      </c>
      <c r="D222" s="48">
        <v>43.0</v>
      </c>
      <c r="E222" s="48">
        <v>15.0</v>
      </c>
      <c r="F222" s="51">
        <v>21.0</v>
      </c>
      <c r="G222" s="48">
        <v>7.0</v>
      </c>
      <c r="H222" s="48">
        <v>72.0</v>
      </c>
      <c r="I222" s="48">
        <v>36.0</v>
      </c>
      <c r="J222" s="36">
        <v>0.3488</v>
      </c>
      <c r="K222" s="36">
        <v>0.48840000000000006</v>
      </c>
      <c r="L222" s="36">
        <v>0.1628</v>
      </c>
      <c r="M222" s="37">
        <v>0.5</v>
      </c>
      <c r="N222" s="54" t="s">
        <v>34</v>
      </c>
      <c r="O222" s="39">
        <v>2.0</v>
      </c>
      <c r="P222" s="41">
        <v>1.67</v>
      </c>
      <c r="Q222" s="37">
        <v>0.8371999999999999</v>
      </c>
      <c r="R222" s="37">
        <v>0.4167</v>
      </c>
      <c r="S222" s="42"/>
      <c r="T222" s="55"/>
      <c r="U222" s="56"/>
      <c r="V222" s="44"/>
      <c r="W222" s="44"/>
      <c r="X222" s="15"/>
    </row>
    <row r="223">
      <c r="A223" s="27" t="s">
        <v>414</v>
      </c>
      <c r="B223" s="57" t="s">
        <v>678</v>
      </c>
      <c r="C223" s="31" t="s">
        <v>26</v>
      </c>
      <c r="D223" s="48">
        <v>34.0</v>
      </c>
      <c r="E223" s="48">
        <v>11.0</v>
      </c>
      <c r="F223" s="51">
        <v>22.0</v>
      </c>
      <c r="G223" s="48">
        <v>1.0</v>
      </c>
      <c r="H223" s="48">
        <v>56.0</v>
      </c>
      <c r="I223" s="48">
        <v>23.0</v>
      </c>
      <c r="J223" s="36">
        <v>0.3235</v>
      </c>
      <c r="K223" s="36">
        <v>0.6471</v>
      </c>
      <c r="L223" s="36">
        <v>0.0294</v>
      </c>
      <c r="M223" s="37">
        <v>0.4107</v>
      </c>
      <c r="N223" s="54" t="s">
        <v>34</v>
      </c>
      <c r="O223" s="39">
        <v>1.69696969696969</v>
      </c>
      <c r="P223" s="41">
        <v>1.64705882352941</v>
      </c>
      <c r="Q223" s="37">
        <v>0.9706</v>
      </c>
      <c r="R223" s="37">
        <v>0.3333</v>
      </c>
      <c r="S223" s="42"/>
      <c r="T223" s="55"/>
      <c r="U223" s="56"/>
      <c r="V223" s="44"/>
      <c r="W223" s="44"/>
      <c r="X223" s="15"/>
    </row>
    <row r="224">
      <c r="A224" s="27" t="s">
        <v>123</v>
      </c>
      <c r="B224" s="29" t="s">
        <v>679</v>
      </c>
      <c r="C224" s="31" t="s">
        <v>26</v>
      </c>
      <c r="D224" s="32">
        <v>251.0</v>
      </c>
      <c r="E224" s="32">
        <v>57.0</v>
      </c>
      <c r="F224" s="34">
        <v>94.0</v>
      </c>
      <c r="G224" s="32">
        <v>100.0</v>
      </c>
      <c r="H224" s="32">
        <v>338.0</v>
      </c>
      <c r="I224" s="32">
        <v>187.0</v>
      </c>
      <c r="J224" s="36">
        <v>0.2271</v>
      </c>
      <c r="K224" s="36">
        <v>0.3745</v>
      </c>
      <c r="L224" s="36">
        <v>0.3984</v>
      </c>
      <c r="M224" s="37">
        <v>0.6147</v>
      </c>
      <c r="N224" s="38">
        <v>0.5533</v>
      </c>
      <c r="O224" s="39">
        <v>2.24</v>
      </c>
      <c r="P224" s="41">
        <v>1.35</v>
      </c>
      <c r="Q224" s="37">
        <v>0.6016</v>
      </c>
      <c r="R224" s="37">
        <v>0.3775</v>
      </c>
      <c r="S224" s="70"/>
      <c r="T224" s="43"/>
      <c r="U224" s="56"/>
      <c r="V224" s="44"/>
      <c r="W224" s="44"/>
      <c r="X224" s="15"/>
    </row>
    <row r="225">
      <c r="A225" s="27" t="s">
        <v>225</v>
      </c>
      <c r="B225" s="57" t="s">
        <v>680</v>
      </c>
      <c r="C225" s="31" t="s">
        <v>98</v>
      </c>
      <c r="D225" s="48">
        <v>77.0</v>
      </c>
      <c r="E225" s="48">
        <v>9.0</v>
      </c>
      <c r="F225" s="51">
        <v>40.0</v>
      </c>
      <c r="G225" s="48">
        <v>28.0</v>
      </c>
      <c r="H225" s="48">
        <v>91.0</v>
      </c>
      <c r="I225" s="48">
        <v>42.0</v>
      </c>
      <c r="J225" s="36">
        <v>0.1169</v>
      </c>
      <c r="K225" s="36">
        <v>0.5195</v>
      </c>
      <c r="L225" s="36">
        <v>0.3636</v>
      </c>
      <c r="M225" s="37">
        <v>0.4615</v>
      </c>
      <c r="N225" s="54"/>
      <c r="O225" s="39">
        <v>1.86</v>
      </c>
      <c r="P225" s="41">
        <v>1.18</v>
      </c>
      <c r="Q225" s="37">
        <v>0.6364</v>
      </c>
      <c r="R225" s="37">
        <v>0.1837</v>
      </c>
      <c r="S225" s="42"/>
      <c r="T225" s="55"/>
      <c r="U225" s="56"/>
      <c r="V225" s="44"/>
      <c r="W225" s="44"/>
      <c r="X225" s="15"/>
    </row>
    <row r="226">
      <c r="A226" s="27" t="s">
        <v>460</v>
      </c>
      <c r="B226" s="57" t="s">
        <v>681</v>
      </c>
      <c r="C226" s="31" t="s">
        <v>46</v>
      </c>
      <c r="D226" s="48">
        <v>105.0</v>
      </c>
      <c r="E226" s="48">
        <v>28.0</v>
      </c>
      <c r="F226" s="51">
        <v>34.0</v>
      </c>
      <c r="G226" s="48">
        <v>43.0</v>
      </c>
      <c r="H226" s="48">
        <v>123.0</v>
      </c>
      <c r="I226" s="48">
        <v>61.0</v>
      </c>
      <c r="J226" s="36">
        <v>0.2667</v>
      </c>
      <c r="K226" s="36">
        <v>0.3238</v>
      </c>
      <c r="L226" s="36">
        <v>0.4095</v>
      </c>
      <c r="M226" s="37">
        <v>0.4959</v>
      </c>
      <c r="N226" s="54" t="s">
        <v>34</v>
      </c>
      <c r="O226" s="39">
        <v>1.98387096774193</v>
      </c>
      <c r="P226" s="41">
        <v>1.17142857142857</v>
      </c>
      <c r="Q226" s="37">
        <v>0.5905</v>
      </c>
      <c r="R226" s="37">
        <v>0.4516</v>
      </c>
      <c r="S226" s="42"/>
      <c r="T226" s="55"/>
      <c r="U226" s="56"/>
      <c r="V226" s="44"/>
      <c r="W226" s="44"/>
      <c r="X226" s="15"/>
    </row>
    <row r="227">
      <c r="A227" s="27" t="s">
        <v>501</v>
      </c>
      <c r="B227" s="57" t="s">
        <v>682</v>
      </c>
      <c r="C227" s="31" t="s">
        <v>42</v>
      </c>
      <c r="D227" s="48">
        <v>128.0</v>
      </c>
      <c r="E227" s="48">
        <v>46.0</v>
      </c>
      <c r="F227" s="51">
        <v>53.0</v>
      </c>
      <c r="G227" s="48">
        <v>29.0</v>
      </c>
      <c r="H227" s="48">
        <v>243.0</v>
      </c>
      <c r="I227" s="48">
        <v>144.0</v>
      </c>
      <c r="J227" s="36">
        <v>0.3594</v>
      </c>
      <c r="K227" s="36">
        <v>0.41409999999999997</v>
      </c>
      <c r="L227" s="36">
        <v>0.2266</v>
      </c>
      <c r="M227" s="37">
        <v>0.5926</v>
      </c>
      <c r="N227" s="54" t="s">
        <v>34</v>
      </c>
      <c r="O227" s="39">
        <v>2.45</v>
      </c>
      <c r="P227" s="41">
        <v>1.9</v>
      </c>
      <c r="Q227" s="37">
        <v>0.7734000000000001</v>
      </c>
      <c r="R227" s="37">
        <v>0.4646</v>
      </c>
      <c r="S227" s="42"/>
      <c r="T227" s="55"/>
      <c r="U227" s="56"/>
      <c r="V227" s="44"/>
      <c r="W227" s="44"/>
      <c r="X227" s="15"/>
    </row>
    <row r="228">
      <c r="A228" s="27" t="s">
        <v>260</v>
      </c>
      <c r="B228" s="29" t="s">
        <v>683</v>
      </c>
      <c r="C228" s="31" t="s">
        <v>31</v>
      </c>
      <c r="D228" s="32">
        <v>108.0</v>
      </c>
      <c r="E228" s="32">
        <v>53.0</v>
      </c>
      <c r="F228" s="34">
        <v>14.0</v>
      </c>
      <c r="G228" s="32">
        <v>41.0</v>
      </c>
      <c r="H228" s="32">
        <v>290.0</v>
      </c>
      <c r="I228" s="32">
        <v>223.0</v>
      </c>
      <c r="J228" s="36">
        <v>0.4907</v>
      </c>
      <c r="K228" s="36">
        <v>0.1296</v>
      </c>
      <c r="L228" s="36">
        <v>0.3796</v>
      </c>
      <c r="M228" s="37">
        <v>0.7297</v>
      </c>
      <c r="N228" s="38">
        <v>0.769</v>
      </c>
      <c r="O228" s="39">
        <v>4.33</v>
      </c>
      <c r="P228" s="41">
        <v>2.69</v>
      </c>
      <c r="Q228" s="37">
        <v>0.6204</v>
      </c>
      <c r="R228" s="37">
        <v>0.791</v>
      </c>
      <c r="S228" s="42"/>
      <c r="T228" s="55"/>
      <c r="U228" s="56"/>
      <c r="V228" s="44"/>
      <c r="W228" s="44"/>
      <c r="X228" s="15"/>
    </row>
    <row r="229">
      <c r="A229" s="27" t="s">
        <v>419</v>
      </c>
      <c r="B229" s="57" t="s">
        <v>684</v>
      </c>
      <c r="C229" s="31" t="s">
        <v>31</v>
      </c>
      <c r="D229" s="48">
        <v>145.0</v>
      </c>
      <c r="E229" s="48">
        <v>34.0</v>
      </c>
      <c r="F229" s="51">
        <v>27.0</v>
      </c>
      <c r="G229" s="48">
        <v>84.0</v>
      </c>
      <c r="H229" s="48">
        <v>237.0</v>
      </c>
      <c r="I229" s="48">
        <v>176.0</v>
      </c>
      <c r="J229" s="36">
        <v>0.2345</v>
      </c>
      <c r="K229" s="36">
        <v>0.1862</v>
      </c>
      <c r="L229" s="36">
        <v>0.5793</v>
      </c>
      <c r="M229" s="37">
        <v>0.7426</v>
      </c>
      <c r="N229" s="54" t="s">
        <v>34</v>
      </c>
      <c r="O229" s="39">
        <v>3.89</v>
      </c>
      <c r="P229" s="41">
        <v>1.63</v>
      </c>
      <c r="Q229" s="37">
        <v>0.4207</v>
      </c>
      <c r="R229" s="37">
        <v>0.5574</v>
      </c>
      <c r="S229" s="42"/>
      <c r="T229" s="55"/>
      <c r="U229" s="56"/>
      <c r="V229" s="44"/>
      <c r="W229" s="44"/>
      <c r="X229" s="15"/>
    </row>
    <row r="230">
      <c r="A230" s="27" t="s">
        <v>477</v>
      </c>
      <c r="B230" s="47"/>
      <c r="C230" s="31" t="s">
        <v>31</v>
      </c>
      <c r="D230" s="48">
        <v>63.0</v>
      </c>
      <c r="E230" s="48">
        <v>10.0</v>
      </c>
      <c r="F230" s="51">
        <v>26.0</v>
      </c>
      <c r="G230" s="48">
        <v>27.0</v>
      </c>
      <c r="H230" s="48">
        <v>142.0</v>
      </c>
      <c r="I230" s="48">
        <v>106.0</v>
      </c>
      <c r="J230" s="36">
        <v>0.15869999999999998</v>
      </c>
      <c r="K230" s="36">
        <v>0.4127</v>
      </c>
      <c r="L230" s="36">
        <v>0.4286</v>
      </c>
      <c r="M230" s="37">
        <v>0.7465</v>
      </c>
      <c r="N230" s="54" t="s">
        <v>34</v>
      </c>
      <c r="O230" s="39">
        <v>3.94</v>
      </c>
      <c r="P230" s="41">
        <v>2.25</v>
      </c>
      <c r="Q230" s="37">
        <v>0.5714</v>
      </c>
      <c r="R230" s="37">
        <v>0.2778</v>
      </c>
      <c r="S230" s="42"/>
      <c r="T230" s="55"/>
      <c r="U230" s="56"/>
      <c r="V230" s="44"/>
      <c r="W230" s="44"/>
      <c r="X230" s="15"/>
    </row>
    <row r="231">
      <c r="A231" s="27" t="s">
        <v>497</v>
      </c>
      <c r="B231" s="47"/>
      <c r="C231" s="31" t="s">
        <v>26</v>
      </c>
      <c r="D231" s="48">
        <v>60.0</v>
      </c>
      <c r="E231" s="48">
        <v>9.0</v>
      </c>
      <c r="F231" s="51">
        <v>4.0</v>
      </c>
      <c r="G231" s="48">
        <v>47.0</v>
      </c>
      <c r="H231" s="48">
        <v>69.0</v>
      </c>
      <c r="I231" s="48">
        <v>56.0</v>
      </c>
      <c r="J231" s="36">
        <v>0.15</v>
      </c>
      <c r="K231" s="36">
        <v>0.0667</v>
      </c>
      <c r="L231" s="36">
        <v>0.7833</v>
      </c>
      <c r="M231" s="37">
        <v>0.8116</v>
      </c>
      <c r="N231" s="54" t="s">
        <v>34</v>
      </c>
      <c r="O231" s="39">
        <v>5.3076923076923</v>
      </c>
      <c r="P231" s="41">
        <v>1.15</v>
      </c>
      <c r="Q231" s="37">
        <v>0.2167</v>
      </c>
      <c r="R231" s="37">
        <v>0.6923</v>
      </c>
      <c r="S231" s="42"/>
      <c r="T231" s="55"/>
      <c r="U231" s="56"/>
      <c r="V231" s="44"/>
      <c r="W231" s="44"/>
      <c r="X231" s="15"/>
    </row>
    <row r="232">
      <c r="A232" s="27" t="s">
        <v>242</v>
      </c>
      <c r="B232" s="47"/>
      <c r="C232" s="31" t="s">
        <v>31</v>
      </c>
      <c r="D232" s="48">
        <v>27.0</v>
      </c>
      <c r="E232" s="48">
        <v>10.0</v>
      </c>
      <c r="F232" s="51">
        <v>12.0</v>
      </c>
      <c r="G232" s="48">
        <v>5.0</v>
      </c>
      <c r="H232" s="48">
        <v>40.0</v>
      </c>
      <c r="I232" s="48">
        <v>18.0</v>
      </c>
      <c r="J232" s="36">
        <v>0.3704</v>
      </c>
      <c r="K232" s="36">
        <v>0.4444</v>
      </c>
      <c r="L232" s="36">
        <v>0.1852</v>
      </c>
      <c r="M232" s="37">
        <v>0.45</v>
      </c>
      <c r="N232" s="54" t="s">
        <v>34</v>
      </c>
      <c r="O232" s="39">
        <v>1.81818181818181</v>
      </c>
      <c r="P232" s="41">
        <v>1.48148148148148</v>
      </c>
      <c r="Q232" s="37">
        <v>0.8148</v>
      </c>
      <c r="R232" s="37">
        <v>0.4545</v>
      </c>
      <c r="S232" s="42"/>
      <c r="T232" s="55"/>
      <c r="U232" s="56"/>
      <c r="V232" s="44"/>
      <c r="W232" s="44"/>
      <c r="X232" s="15"/>
    </row>
    <row r="233">
      <c r="A233" s="27" t="s">
        <v>279</v>
      </c>
      <c r="B233" s="57" t="s">
        <v>685</v>
      </c>
      <c r="C233" s="31" t="s">
        <v>26</v>
      </c>
      <c r="D233" s="48">
        <v>151.0</v>
      </c>
      <c r="E233" s="48">
        <v>5.0</v>
      </c>
      <c r="F233" s="51">
        <v>53.0</v>
      </c>
      <c r="G233" s="48">
        <v>93.0</v>
      </c>
      <c r="H233" s="48">
        <v>74.0</v>
      </c>
      <c r="I233" s="48">
        <v>16.0</v>
      </c>
      <c r="J233" s="36">
        <v>0.0331</v>
      </c>
      <c r="K233" s="36">
        <v>0.35100000000000003</v>
      </c>
      <c r="L233" s="36">
        <v>0.6159</v>
      </c>
      <c r="M233" s="37">
        <v>0.2162</v>
      </c>
      <c r="N233" s="54" t="s">
        <v>34</v>
      </c>
      <c r="O233" s="39">
        <v>1.28</v>
      </c>
      <c r="P233" s="41">
        <v>0.49</v>
      </c>
      <c r="Q233" s="37">
        <v>0.38409999999999994</v>
      </c>
      <c r="R233" s="37">
        <v>0.0862</v>
      </c>
      <c r="S233" s="42"/>
      <c r="T233" s="55"/>
      <c r="U233" s="56"/>
      <c r="V233" s="44"/>
      <c r="W233" s="44"/>
      <c r="X233" s="15"/>
    </row>
    <row r="234">
      <c r="A234" s="27" t="s">
        <v>454</v>
      </c>
      <c r="B234" s="57" t="s">
        <v>686</v>
      </c>
      <c r="C234" s="31" t="s">
        <v>46</v>
      </c>
      <c r="D234" s="48">
        <v>119.0</v>
      </c>
      <c r="E234" s="48">
        <v>61.0</v>
      </c>
      <c r="F234" s="51">
        <v>52.0</v>
      </c>
      <c r="G234" s="48">
        <v>6.0</v>
      </c>
      <c r="H234" s="48">
        <v>268.0</v>
      </c>
      <c r="I234" s="48">
        <v>155.0</v>
      </c>
      <c r="J234" s="36">
        <v>0.5126</v>
      </c>
      <c r="K234" s="36">
        <v>0.437</v>
      </c>
      <c r="L234" s="36">
        <v>0.0504</v>
      </c>
      <c r="M234" s="37">
        <v>0.5784</v>
      </c>
      <c r="N234" s="54" t="s">
        <v>34</v>
      </c>
      <c r="O234" s="39">
        <v>2.3716814159292</v>
      </c>
      <c r="P234" s="41">
        <v>2.25210084033613</v>
      </c>
      <c r="Q234" s="37">
        <v>0.9496</v>
      </c>
      <c r="R234" s="37">
        <v>0.5398</v>
      </c>
      <c r="S234" s="42"/>
      <c r="T234" s="55"/>
      <c r="U234" s="56"/>
      <c r="V234" s="44"/>
      <c r="W234" s="44"/>
      <c r="X234" s="15"/>
    </row>
    <row r="235">
      <c r="A235" s="27" t="s">
        <v>570</v>
      </c>
      <c r="B235" s="57" t="s">
        <v>687</v>
      </c>
      <c r="C235" s="31" t="s">
        <v>31</v>
      </c>
      <c r="D235" s="48">
        <v>45.0</v>
      </c>
      <c r="E235" s="48">
        <v>4.0</v>
      </c>
      <c r="F235" s="51">
        <v>20.0</v>
      </c>
      <c r="G235" s="48">
        <v>21.0</v>
      </c>
      <c r="H235" s="48">
        <v>39.0</v>
      </c>
      <c r="I235" s="48">
        <v>15.0</v>
      </c>
      <c r="J235" s="36">
        <v>0.0889</v>
      </c>
      <c r="K235" s="36">
        <v>0.4444</v>
      </c>
      <c r="L235" s="36">
        <v>0.4667</v>
      </c>
      <c r="M235" s="37">
        <v>0.3846</v>
      </c>
      <c r="N235" s="54" t="s">
        <v>34</v>
      </c>
      <c r="O235" s="39">
        <v>1.625</v>
      </c>
      <c r="P235" s="41">
        <v>0.866666666666666</v>
      </c>
      <c r="Q235" s="37">
        <v>0.5333</v>
      </c>
      <c r="R235" s="37">
        <v>0.1667</v>
      </c>
      <c r="S235" s="42"/>
      <c r="T235" s="55"/>
      <c r="U235" s="56"/>
      <c r="V235" s="44"/>
      <c r="W235" s="44"/>
      <c r="X235" s="15"/>
    </row>
    <row r="236">
      <c r="A236" s="27" t="s">
        <v>547</v>
      </c>
      <c r="B236" s="57" t="s">
        <v>688</v>
      </c>
      <c r="C236" s="31" t="s">
        <v>46</v>
      </c>
      <c r="D236" s="48">
        <v>45.0</v>
      </c>
      <c r="E236" s="48">
        <v>4.0</v>
      </c>
      <c r="F236" s="51">
        <v>20.0</v>
      </c>
      <c r="G236" s="48">
        <v>21.0</v>
      </c>
      <c r="H236" s="48">
        <v>39.0</v>
      </c>
      <c r="I236" s="48">
        <v>15.0</v>
      </c>
      <c r="J236" s="36">
        <v>0.0889</v>
      </c>
      <c r="K236" s="36">
        <v>0.4444</v>
      </c>
      <c r="L236" s="36">
        <v>0.4667</v>
      </c>
      <c r="M236" s="37">
        <v>0.3846</v>
      </c>
      <c r="N236" s="54" t="s">
        <v>34</v>
      </c>
      <c r="O236" s="39">
        <v>1.625</v>
      </c>
      <c r="P236" s="41">
        <v>0.866666666666666</v>
      </c>
      <c r="Q236" s="37">
        <v>0.5333</v>
      </c>
      <c r="R236" s="37">
        <v>0.1667</v>
      </c>
      <c r="S236" s="42"/>
      <c r="T236" s="55"/>
      <c r="U236" s="56"/>
      <c r="V236" s="44"/>
      <c r="W236" s="44"/>
      <c r="X236" s="15"/>
    </row>
    <row r="237">
      <c r="A237" s="27" t="s">
        <v>538</v>
      </c>
      <c r="B237" s="57" t="s">
        <v>689</v>
      </c>
      <c r="C237" s="31" t="s">
        <v>98</v>
      </c>
      <c r="D237" s="48">
        <v>64.0</v>
      </c>
      <c r="E237" s="48">
        <v>15.0</v>
      </c>
      <c r="F237" s="51">
        <v>17.0</v>
      </c>
      <c r="G237" s="48">
        <v>32.0</v>
      </c>
      <c r="H237" s="48">
        <v>121.0</v>
      </c>
      <c r="I237" s="48">
        <v>89.0</v>
      </c>
      <c r="J237" s="36">
        <v>0.2344</v>
      </c>
      <c r="K237" s="36">
        <v>0.2656</v>
      </c>
      <c r="L237" s="36">
        <v>0.5</v>
      </c>
      <c r="M237" s="37">
        <v>0.7355</v>
      </c>
      <c r="N237" s="54" t="s">
        <v>34</v>
      </c>
      <c r="O237" s="39">
        <v>3.78</v>
      </c>
      <c r="P237" s="41">
        <v>1.89</v>
      </c>
      <c r="Q237" s="37">
        <v>0.5</v>
      </c>
      <c r="R237" s="37">
        <v>0.4688</v>
      </c>
      <c r="S237" s="42"/>
      <c r="T237" s="55"/>
      <c r="U237" s="56"/>
      <c r="V237" s="44"/>
      <c r="W237" s="44"/>
      <c r="X237" s="15"/>
    </row>
    <row r="238">
      <c r="A238" s="27" t="s">
        <v>386</v>
      </c>
      <c r="B238" s="57" t="s">
        <v>690</v>
      </c>
      <c r="C238" s="31" t="s">
        <v>46</v>
      </c>
      <c r="D238" s="48">
        <v>15.0</v>
      </c>
      <c r="E238" s="48">
        <v>2.0</v>
      </c>
      <c r="F238" s="51">
        <v>7.0</v>
      </c>
      <c r="G238" s="48">
        <v>6.0</v>
      </c>
      <c r="H238" s="48">
        <v>11.0</v>
      </c>
      <c r="I238" s="48">
        <v>2.0</v>
      </c>
      <c r="J238" s="36">
        <v>0.1333</v>
      </c>
      <c r="K238" s="36">
        <v>0.4667</v>
      </c>
      <c r="L238" s="36">
        <v>0.4</v>
      </c>
      <c r="M238" s="37">
        <v>0.1818</v>
      </c>
      <c r="N238" s="54" t="s">
        <v>34</v>
      </c>
      <c r="O238" s="39">
        <v>1.22222222222222</v>
      </c>
      <c r="P238" s="41">
        <v>0.733333333333333</v>
      </c>
      <c r="Q238" s="37">
        <v>0.6</v>
      </c>
      <c r="R238" s="37">
        <v>0.2222</v>
      </c>
      <c r="S238" s="42"/>
      <c r="T238" s="55"/>
      <c r="U238" s="56"/>
      <c r="V238" s="44"/>
      <c r="W238" s="44"/>
      <c r="X238" s="15"/>
    </row>
    <row r="239">
      <c r="A239" s="27" t="s">
        <v>152</v>
      </c>
      <c r="B239" s="57" t="s">
        <v>691</v>
      </c>
      <c r="C239" s="31" t="s">
        <v>42</v>
      </c>
      <c r="D239" s="48">
        <v>34.0</v>
      </c>
      <c r="E239" s="48">
        <v>7.0</v>
      </c>
      <c r="F239" s="51">
        <v>11.0</v>
      </c>
      <c r="G239" s="48">
        <v>16.0</v>
      </c>
      <c r="H239" s="48">
        <v>28.0</v>
      </c>
      <c r="I239" s="48">
        <v>10.0</v>
      </c>
      <c r="J239" s="36">
        <v>0.2059</v>
      </c>
      <c r="K239" s="36">
        <v>0.3235</v>
      </c>
      <c r="L239" s="36">
        <v>0.4706</v>
      </c>
      <c r="M239" s="37">
        <v>0.3571</v>
      </c>
      <c r="N239" s="54" t="s">
        <v>34</v>
      </c>
      <c r="O239" s="39">
        <v>1.55555555555555</v>
      </c>
      <c r="P239" s="41">
        <v>0.823529411764705</v>
      </c>
      <c r="Q239" s="37">
        <v>0.5294</v>
      </c>
      <c r="R239" s="37">
        <v>0.3889</v>
      </c>
      <c r="S239" s="42"/>
      <c r="T239" s="55"/>
      <c r="U239" s="56"/>
      <c r="V239" s="44"/>
      <c r="W239" s="44"/>
      <c r="X239" s="15"/>
    </row>
    <row r="240">
      <c r="A240" s="27" t="s">
        <v>568</v>
      </c>
      <c r="B240" s="57" t="s">
        <v>692</v>
      </c>
      <c r="C240" s="31" t="s">
        <v>26</v>
      </c>
      <c r="D240" s="48">
        <v>63.0</v>
      </c>
      <c r="E240" s="48">
        <v>9.0</v>
      </c>
      <c r="F240" s="51">
        <v>19.0</v>
      </c>
      <c r="G240" s="48">
        <v>35.0</v>
      </c>
      <c r="H240" s="48">
        <v>63.0</v>
      </c>
      <c r="I240" s="48">
        <v>35.0</v>
      </c>
      <c r="J240" s="36">
        <v>0.1429</v>
      </c>
      <c r="K240" s="36">
        <v>0.3016</v>
      </c>
      <c r="L240" s="36">
        <v>0.5556</v>
      </c>
      <c r="M240" s="37">
        <v>0.5556</v>
      </c>
      <c r="N240" s="54" t="s">
        <v>34</v>
      </c>
      <c r="O240" s="39">
        <v>2.25</v>
      </c>
      <c r="P240" s="41">
        <v>1.0</v>
      </c>
      <c r="Q240" s="37">
        <v>0.4444</v>
      </c>
      <c r="R240" s="37">
        <v>0.3214</v>
      </c>
      <c r="S240" s="42"/>
      <c r="T240" s="55"/>
      <c r="U240" s="56"/>
      <c r="V240" s="44"/>
      <c r="W240" s="44"/>
      <c r="X240" s="15"/>
    </row>
    <row r="241">
      <c r="A241" s="27" t="s">
        <v>581</v>
      </c>
      <c r="B241" s="57" t="s">
        <v>693</v>
      </c>
      <c r="C241" s="31" t="s">
        <v>26</v>
      </c>
      <c r="D241" s="48">
        <v>95.0</v>
      </c>
      <c r="E241" s="48">
        <v>56.0</v>
      </c>
      <c r="F241" s="51">
        <v>17.0</v>
      </c>
      <c r="G241" s="48">
        <v>22.0</v>
      </c>
      <c r="H241" s="48">
        <v>279.0</v>
      </c>
      <c r="I241" s="48">
        <v>206.0</v>
      </c>
      <c r="J241" s="36">
        <v>0.5895</v>
      </c>
      <c r="K241" s="36">
        <v>0.1789</v>
      </c>
      <c r="L241" s="36">
        <v>0.2316</v>
      </c>
      <c r="M241" s="37">
        <v>0.7384</v>
      </c>
      <c r="N241" s="54" t="s">
        <v>34</v>
      </c>
      <c r="O241" s="39">
        <v>3.82191780821917</v>
      </c>
      <c r="P241" s="41">
        <v>2.93684210526315</v>
      </c>
      <c r="Q241" s="37">
        <v>0.7684</v>
      </c>
      <c r="R241" s="37">
        <v>0.7671</v>
      </c>
      <c r="S241" s="42"/>
      <c r="T241" s="55"/>
      <c r="U241" s="56"/>
      <c r="V241" s="44"/>
      <c r="W241" s="44"/>
      <c r="X241" s="15"/>
    </row>
    <row r="242">
      <c r="A242" s="27" t="s">
        <v>309</v>
      </c>
      <c r="B242" s="29" t="s">
        <v>694</v>
      </c>
      <c r="C242" s="31" t="s">
        <v>42</v>
      </c>
      <c r="D242" s="32">
        <v>18.0</v>
      </c>
      <c r="E242" s="32">
        <v>4.0</v>
      </c>
      <c r="F242" s="34">
        <v>10.0</v>
      </c>
      <c r="G242" s="32">
        <v>4.0</v>
      </c>
      <c r="H242" s="32">
        <v>18.0</v>
      </c>
      <c r="I242" s="32">
        <v>4.0</v>
      </c>
      <c r="J242" s="36">
        <v>0.2222</v>
      </c>
      <c r="K242" s="36">
        <v>0.5556</v>
      </c>
      <c r="L242" s="36">
        <v>0.2222</v>
      </c>
      <c r="M242" s="37">
        <v>0.5357</v>
      </c>
      <c r="N242" s="38">
        <v>0.2222</v>
      </c>
      <c r="O242" s="39">
        <v>1.29</v>
      </c>
      <c r="P242" s="41">
        <v>1.0</v>
      </c>
      <c r="Q242" s="37">
        <v>0.7778</v>
      </c>
      <c r="R242" s="37">
        <v>0.2857</v>
      </c>
      <c r="S242" s="70"/>
      <c r="T242" s="55"/>
      <c r="U242" s="56"/>
      <c r="V242" s="44"/>
      <c r="W242" s="44"/>
      <c r="X242" s="15"/>
    </row>
    <row r="243">
      <c r="A243" s="27" t="s">
        <v>528</v>
      </c>
      <c r="B243" s="57" t="s">
        <v>695</v>
      </c>
      <c r="C243" s="31" t="s">
        <v>98</v>
      </c>
      <c r="D243" s="48">
        <v>23.0</v>
      </c>
      <c r="E243" s="48">
        <v>8.0</v>
      </c>
      <c r="F243" s="51">
        <v>11.0</v>
      </c>
      <c r="G243" s="48">
        <v>4.0</v>
      </c>
      <c r="H243" s="48">
        <v>51.0</v>
      </c>
      <c r="I243" s="48">
        <v>32.0</v>
      </c>
      <c r="J243" s="36">
        <v>0.3478</v>
      </c>
      <c r="K243" s="36">
        <v>0.4783</v>
      </c>
      <c r="L243" s="36">
        <v>0.1739</v>
      </c>
      <c r="M243" s="37">
        <v>0.6275</v>
      </c>
      <c r="N243" s="54" t="s">
        <v>34</v>
      </c>
      <c r="O243" s="39">
        <v>2.68</v>
      </c>
      <c r="P243" s="41">
        <v>2.22</v>
      </c>
      <c r="Q243" s="37">
        <v>0.8261</v>
      </c>
      <c r="R243" s="37">
        <v>0.4211</v>
      </c>
      <c r="S243" s="42"/>
      <c r="T243" s="55"/>
      <c r="U243" s="56"/>
      <c r="V243" s="44"/>
      <c r="W243" s="44"/>
      <c r="X243" s="15"/>
    </row>
    <row r="244">
      <c r="A244" s="27" t="s">
        <v>427</v>
      </c>
      <c r="B244" s="47"/>
      <c r="C244" s="31" t="s">
        <v>31</v>
      </c>
      <c r="D244" s="48">
        <v>619.0</v>
      </c>
      <c r="E244" s="48">
        <v>112.0</v>
      </c>
      <c r="F244" s="51">
        <v>276.0</v>
      </c>
      <c r="G244" s="48">
        <v>231.0</v>
      </c>
      <c r="H244" s="48">
        <v>654.0</v>
      </c>
      <c r="I244" s="48">
        <v>266.0</v>
      </c>
      <c r="J244" s="36">
        <v>0.1809</v>
      </c>
      <c r="K244" s="36">
        <v>0.4459</v>
      </c>
      <c r="L244" s="36">
        <v>0.3732</v>
      </c>
      <c r="M244" s="37">
        <v>0.4067</v>
      </c>
      <c r="N244" s="54" t="s">
        <v>34</v>
      </c>
      <c r="O244" s="39">
        <v>1.69</v>
      </c>
      <c r="P244" s="41">
        <v>1.06</v>
      </c>
      <c r="Q244" s="37">
        <v>0.1809</v>
      </c>
      <c r="R244" s="37">
        <v>0.2887</v>
      </c>
      <c r="S244" s="42"/>
      <c r="T244" s="55"/>
      <c r="U244" s="56"/>
      <c r="V244" s="44"/>
      <c r="W244" s="44"/>
      <c r="X244" s="15"/>
    </row>
    <row r="245">
      <c r="A245" s="27" t="s">
        <v>216</v>
      </c>
      <c r="B245" s="47"/>
      <c r="C245" s="31" t="s">
        <v>31</v>
      </c>
      <c r="D245" s="48">
        <v>51.0</v>
      </c>
      <c r="E245" s="48">
        <v>33.0</v>
      </c>
      <c r="F245" s="51">
        <v>9.0</v>
      </c>
      <c r="G245" s="48">
        <v>9.0</v>
      </c>
      <c r="H245" s="48">
        <v>163.0</v>
      </c>
      <c r="I245" s="48">
        <v>121.0</v>
      </c>
      <c r="J245" s="36">
        <v>0.6470999999999999</v>
      </c>
      <c r="K245" s="36">
        <v>0.1765</v>
      </c>
      <c r="L245" s="36">
        <v>0.1765</v>
      </c>
      <c r="M245" s="37">
        <v>0.7423000000000001</v>
      </c>
      <c r="N245" s="54" t="s">
        <v>34</v>
      </c>
      <c r="O245" s="39">
        <v>3.88</v>
      </c>
      <c r="P245" s="41">
        <v>3.2</v>
      </c>
      <c r="Q245" s="37">
        <v>0.8234999999999999</v>
      </c>
      <c r="R245" s="37">
        <v>0.7857</v>
      </c>
      <c r="S245" s="42"/>
      <c r="T245" s="43"/>
      <c r="U245" s="56"/>
      <c r="V245" s="44"/>
      <c r="W245" s="44"/>
      <c r="X245" s="15"/>
    </row>
    <row r="246">
      <c r="A246" s="27" t="s">
        <v>499</v>
      </c>
      <c r="B246" s="57" t="s">
        <v>696</v>
      </c>
      <c r="C246" s="31" t="s">
        <v>42</v>
      </c>
      <c r="D246" s="48">
        <v>49.0</v>
      </c>
      <c r="E246" s="48">
        <v>19.0</v>
      </c>
      <c r="F246" s="51">
        <v>25.0</v>
      </c>
      <c r="G246" s="48">
        <v>5.0</v>
      </c>
      <c r="H246" s="48">
        <v>100.0</v>
      </c>
      <c r="I246" s="48">
        <v>56.0</v>
      </c>
      <c r="J246" s="36">
        <v>0.38780000000000003</v>
      </c>
      <c r="K246" s="36">
        <v>0.5102</v>
      </c>
      <c r="L246" s="36">
        <v>0.102</v>
      </c>
      <c r="M246" s="37">
        <v>0.56</v>
      </c>
      <c r="N246" s="54" t="s">
        <v>34</v>
      </c>
      <c r="O246" s="39">
        <v>2.27</v>
      </c>
      <c r="P246" s="41">
        <v>2.04</v>
      </c>
      <c r="Q246" s="37">
        <v>0.898</v>
      </c>
      <c r="R246" s="37">
        <v>0.4318</v>
      </c>
      <c r="S246" s="42"/>
      <c r="T246" s="55"/>
      <c r="U246" s="56"/>
      <c r="V246" s="44"/>
      <c r="W246" s="44"/>
      <c r="X246" s="15"/>
    </row>
    <row r="247">
      <c r="A247" s="27" t="s">
        <v>253</v>
      </c>
      <c r="B247" s="57" t="s">
        <v>697</v>
      </c>
      <c r="C247" s="31" t="s">
        <v>31</v>
      </c>
      <c r="D247" s="48">
        <v>187.0</v>
      </c>
      <c r="E247" s="48">
        <v>47.0</v>
      </c>
      <c r="F247" s="51">
        <v>96.0</v>
      </c>
      <c r="G247" s="48">
        <v>44.0</v>
      </c>
      <c r="H247" s="48">
        <v>309.0</v>
      </c>
      <c r="I247" s="48">
        <v>166.0</v>
      </c>
      <c r="J247" s="36">
        <v>0.2513</v>
      </c>
      <c r="K247" s="36">
        <v>0.5134</v>
      </c>
      <c r="L247" s="36">
        <v>0.2353</v>
      </c>
      <c r="M247" s="37">
        <v>0.5372</v>
      </c>
      <c r="N247" s="54" t="s">
        <v>34</v>
      </c>
      <c r="O247" s="39">
        <v>2.16083916083916</v>
      </c>
      <c r="P247" s="41">
        <v>1.65240641711229</v>
      </c>
      <c r="Q247" s="37">
        <v>0.7647</v>
      </c>
      <c r="R247" s="37">
        <v>0.3287</v>
      </c>
      <c r="S247" s="42"/>
      <c r="T247" s="55"/>
      <c r="U247" s="56"/>
      <c r="V247" s="44"/>
      <c r="W247" s="44"/>
      <c r="X247" s="15"/>
    </row>
    <row r="248">
      <c r="A248" s="27" t="s">
        <v>428</v>
      </c>
      <c r="B248" s="57" t="s">
        <v>698</v>
      </c>
      <c r="C248" s="31" t="s">
        <v>31</v>
      </c>
      <c r="D248" s="48">
        <v>40.0</v>
      </c>
      <c r="E248" s="48">
        <v>14.0</v>
      </c>
      <c r="F248" s="51">
        <v>22.0</v>
      </c>
      <c r="G248" s="48">
        <v>4.0</v>
      </c>
      <c r="H248" s="48">
        <v>59.0</v>
      </c>
      <c r="I248" s="48">
        <v>23.0</v>
      </c>
      <c r="J248" s="36">
        <v>0.35</v>
      </c>
      <c r="K248" s="36">
        <v>0.55</v>
      </c>
      <c r="L248" s="36">
        <v>0.1</v>
      </c>
      <c r="M248" s="37">
        <v>0.3898</v>
      </c>
      <c r="N248" s="54" t="s">
        <v>34</v>
      </c>
      <c r="O248" s="39">
        <v>1.63888888888888</v>
      </c>
      <c r="P248" s="41">
        <v>1.475</v>
      </c>
      <c r="Q248" s="37">
        <v>0.9</v>
      </c>
      <c r="R248" s="37">
        <v>0.3889</v>
      </c>
      <c r="S248" s="42"/>
      <c r="T248" s="55"/>
      <c r="U248" s="56"/>
      <c r="V248" s="44"/>
      <c r="W248" s="44"/>
      <c r="X248" s="15"/>
    </row>
    <row r="249">
      <c r="A249" s="27" t="s">
        <v>573</v>
      </c>
      <c r="B249" s="57" t="s">
        <v>699</v>
      </c>
      <c r="C249" s="31" t="s">
        <v>46</v>
      </c>
      <c r="D249" s="48">
        <v>29.0</v>
      </c>
      <c r="E249" s="48">
        <v>3.0</v>
      </c>
      <c r="F249" s="51">
        <v>23.0</v>
      </c>
      <c r="G249" s="48">
        <v>3.0</v>
      </c>
      <c r="H249" s="48">
        <v>37.0</v>
      </c>
      <c r="I249" s="48">
        <v>11.0</v>
      </c>
      <c r="J249" s="36">
        <v>0.1034</v>
      </c>
      <c r="K249" s="36">
        <v>0.7931</v>
      </c>
      <c r="L249" s="36">
        <v>0.1034</v>
      </c>
      <c r="M249" s="37">
        <v>0.2973</v>
      </c>
      <c r="N249" s="54" t="s">
        <v>34</v>
      </c>
      <c r="O249" s="39">
        <v>1.42307692307692</v>
      </c>
      <c r="P249" s="41">
        <v>1.27586206896551</v>
      </c>
      <c r="Q249" s="37">
        <v>0.8966</v>
      </c>
      <c r="R249" s="37">
        <v>0.1154</v>
      </c>
      <c r="S249" s="42"/>
      <c r="T249" s="55"/>
      <c r="U249" s="56"/>
      <c r="V249" s="44"/>
      <c r="W249" s="44"/>
      <c r="X249" s="15"/>
    </row>
    <row r="250">
      <c r="A250" s="27" t="s">
        <v>250</v>
      </c>
      <c r="B250" s="29" t="s">
        <v>700</v>
      </c>
      <c r="C250" s="31" t="s">
        <v>46</v>
      </c>
      <c r="D250" s="32">
        <v>0.0</v>
      </c>
      <c r="E250" s="32">
        <v>0.0</v>
      </c>
      <c r="F250" s="34">
        <v>0.0</v>
      </c>
      <c r="G250" s="32">
        <v>0.0</v>
      </c>
      <c r="H250" s="32">
        <v>0.0</v>
      </c>
      <c r="I250" s="32">
        <v>0.0</v>
      </c>
      <c r="J250" s="36">
        <v>0.0</v>
      </c>
      <c r="K250" s="36">
        <v>0.0</v>
      </c>
      <c r="L250" s="36">
        <v>0.0</v>
      </c>
      <c r="M250" s="37">
        <v>0.5</v>
      </c>
      <c r="N250" s="38">
        <v>0.0</v>
      </c>
      <c r="O250" s="39">
        <v>0.0</v>
      </c>
      <c r="P250" s="41">
        <v>0.0</v>
      </c>
      <c r="Q250" s="37">
        <v>0.0</v>
      </c>
      <c r="R250" s="37">
        <v>0.0</v>
      </c>
      <c r="S250" s="42"/>
      <c r="T250" s="43"/>
      <c r="U250" s="56"/>
      <c r="V250" s="44"/>
      <c r="W250" s="44"/>
      <c r="X250" s="15"/>
    </row>
    <row r="251">
      <c r="A251" s="27" t="s">
        <v>593</v>
      </c>
      <c r="B251" s="57" t="s">
        <v>701</v>
      </c>
      <c r="C251" s="31" t="s">
        <v>46</v>
      </c>
      <c r="D251" s="48">
        <v>65.0</v>
      </c>
      <c r="E251" s="48">
        <v>1.0</v>
      </c>
      <c r="F251" s="51">
        <v>34.0</v>
      </c>
      <c r="G251" s="48">
        <v>30.0</v>
      </c>
      <c r="H251" s="48">
        <v>40.0</v>
      </c>
      <c r="I251" s="48">
        <v>5.0</v>
      </c>
      <c r="J251" s="36">
        <v>0.0154</v>
      </c>
      <c r="K251" s="36">
        <v>0.5231</v>
      </c>
      <c r="L251" s="36">
        <v>0.46149999999999997</v>
      </c>
      <c r="M251" s="37">
        <v>0.125</v>
      </c>
      <c r="N251" s="54" t="s">
        <v>34</v>
      </c>
      <c r="O251" s="39">
        <v>1.14</v>
      </c>
      <c r="P251" s="41">
        <v>0.62</v>
      </c>
      <c r="Q251" s="37">
        <v>0.5385</v>
      </c>
      <c r="R251" s="37">
        <v>0.0286</v>
      </c>
      <c r="S251" s="42"/>
      <c r="T251" s="55"/>
      <c r="U251" s="56"/>
      <c r="V251" s="44"/>
      <c r="W251" s="44"/>
      <c r="X251" s="15"/>
    </row>
    <row r="252">
      <c r="A252" s="27" t="s">
        <v>471</v>
      </c>
      <c r="B252" s="57" t="s">
        <v>702</v>
      </c>
      <c r="C252" s="31" t="s">
        <v>31</v>
      </c>
      <c r="D252" s="48">
        <v>40.0</v>
      </c>
      <c r="E252" s="48">
        <v>14.0</v>
      </c>
      <c r="F252" s="51">
        <v>22.0</v>
      </c>
      <c r="G252" s="48">
        <v>4.0</v>
      </c>
      <c r="H252" s="48">
        <v>59.0</v>
      </c>
      <c r="I252" s="48">
        <v>23.0</v>
      </c>
      <c r="J252" s="36">
        <v>0.35</v>
      </c>
      <c r="K252" s="36">
        <v>0.55</v>
      </c>
      <c r="L252" s="36">
        <v>0.1</v>
      </c>
      <c r="M252" s="37">
        <v>0.3898</v>
      </c>
      <c r="N252" s="54" t="s">
        <v>34</v>
      </c>
      <c r="O252" s="39">
        <v>1.63888888888888</v>
      </c>
      <c r="P252" s="41">
        <v>1.475</v>
      </c>
      <c r="Q252" s="37">
        <v>0.9</v>
      </c>
      <c r="R252" s="37">
        <v>0.3889</v>
      </c>
      <c r="S252" s="42"/>
      <c r="T252" s="55"/>
      <c r="U252" s="56"/>
      <c r="V252" s="44"/>
      <c r="W252" s="44"/>
      <c r="X252" s="15"/>
    </row>
    <row r="253">
      <c r="A253" s="27" t="s">
        <v>551</v>
      </c>
      <c r="B253" s="57" t="s">
        <v>703</v>
      </c>
      <c r="C253" s="31" t="s">
        <v>124</v>
      </c>
      <c r="D253" s="48">
        <v>133.0</v>
      </c>
      <c r="E253" s="48">
        <v>25.0</v>
      </c>
      <c r="F253" s="51">
        <v>62.0</v>
      </c>
      <c r="G253" s="48">
        <v>46.0</v>
      </c>
      <c r="H253" s="48">
        <v>120.0</v>
      </c>
      <c r="I253" s="48">
        <v>33.0</v>
      </c>
      <c r="J253" s="36">
        <v>0.188</v>
      </c>
      <c r="K253" s="36">
        <v>0.46619999999999995</v>
      </c>
      <c r="L253" s="36">
        <v>0.34590000000000004</v>
      </c>
      <c r="M253" s="37">
        <v>0.275</v>
      </c>
      <c r="N253" s="54" t="s">
        <v>34</v>
      </c>
      <c r="O253" s="39">
        <v>1.38</v>
      </c>
      <c r="P253" s="41">
        <v>0.9</v>
      </c>
      <c r="Q253" s="37">
        <v>0.6541</v>
      </c>
      <c r="R253" s="37">
        <v>0.2874</v>
      </c>
      <c r="S253" s="42"/>
      <c r="T253" s="55"/>
      <c r="U253" s="56"/>
      <c r="V253" s="44"/>
      <c r="W253" s="44"/>
      <c r="X253" s="15"/>
    </row>
    <row r="254">
      <c r="A254" s="27" t="s">
        <v>412</v>
      </c>
      <c r="B254" s="57" t="s">
        <v>704</v>
      </c>
      <c r="C254" s="31" t="s">
        <v>46</v>
      </c>
      <c r="D254" s="48">
        <v>23.0</v>
      </c>
      <c r="E254" s="48">
        <v>3.0</v>
      </c>
      <c r="F254" s="51">
        <v>3.0</v>
      </c>
      <c r="G254" s="48">
        <v>17.0</v>
      </c>
      <c r="H254" s="48">
        <v>9.0</v>
      </c>
      <c r="I254" s="48">
        <v>3.0</v>
      </c>
      <c r="J254" s="36">
        <v>0.1304</v>
      </c>
      <c r="K254" s="36">
        <v>0.1304</v>
      </c>
      <c r="L254" s="36">
        <v>0.7391</v>
      </c>
      <c r="M254" s="37">
        <v>0.3333</v>
      </c>
      <c r="N254" s="54" t="s">
        <v>34</v>
      </c>
      <c r="O254" s="39">
        <v>1.5</v>
      </c>
      <c r="P254" s="41">
        <v>0.39</v>
      </c>
      <c r="Q254" s="37">
        <v>0.2609</v>
      </c>
      <c r="R254" s="37">
        <v>0.5</v>
      </c>
      <c r="S254" s="42"/>
      <c r="T254" s="55"/>
      <c r="U254" s="56"/>
      <c r="V254" s="44"/>
      <c r="W254" s="44"/>
      <c r="X254" s="15"/>
    </row>
    <row r="255">
      <c r="A255" s="27" t="s">
        <v>337</v>
      </c>
      <c r="B255" s="29" t="s">
        <v>705</v>
      </c>
      <c r="C255" s="31" t="s">
        <v>98</v>
      </c>
      <c r="D255" s="32">
        <v>0.0</v>
      </c>
      <c r="E255" s="32">
        <v>0.0</v>
      </c>
      <c r="F255" s="34">
        <v>0.0</v>
      </c>
      <c r="G255" s="32">
        <v>0.0</v>
      </c>
      <c r="H255" s="32">
        <v>0.0</v>
      </c>
      <c r="I255" s="32">
        <v>0.0</v>
      </c>
      <c r="J255" s="36">
        <v>0.0</v>
      </c>
      <c r="K255" s="36">
        <v>0.0</v>
      </c>
      <c r="L255" s="36">
        <v>0.0</v>
      </c>
      <c r="M255" s="37">
        <v>0.4704</v>
      </c>
      <c r="N255" s="38">
        <v>0.0</v>
      </c>
      <c r="O255" s="39">
        <v>0.0</v>
      </c>
      <c r="P255" s="41">
        <v>0.0</v>
      </c>
      <c r="Q255" s="37">
        <v>0.0</v>
      </c>
      <c r="R255" s="37">
        <v>0.0</v>
      </c>
      <c r="S255" s="42"/>
      <c r="T255" s="55"/>
      <c r="U255" s="56"/>
      <c r="V255" s="44"/>
      <c r="W255" s="44"/>
      <c r="X255" s="15"/>
    </row>
    <row r="256">
      <c r="A256" s="27" t="s">
        <v>363</v>
      </c>
      <c r="B256" s="29" t="s">
        <v>706</v>
      </c>
      <c r="C256" s="31" t="s">
        <v>26</v>
      </c>
      <c r="D256" s="32">
        <v>68.0</v>
      </c>
      <c r="E256" s="32">
        <v>16.0</v>
      </c>
      <c r="F256" s="34">
        <v>12.0</v>
      </c>
      <c r="G256" s="32">
        <v>40.0</v>
      </c>
      <c r="H256" s="32">
        <v>73.0</v>
      </c>
      <c r="I256" s="32">
        <v>45.0</v>
      </c>
      <c r="J256" s="36">
        <v>0.2353</v>
      </c>
      <c r="K256" s="36">
        <v>0.1765</v>
      </c>
      <c r="L256" s="36">
        <v>0.5882</v>
      </c>
      <c r="M256" s="37">
        <v>0.5696</v>
      </c>
      <c r="N256" s="38">
        <v>0.6164</v>
      </c>
      <c r="O256" s="39">
        <v>2.61</v>
      </c>
      <c r="P256" s="41">
        <v>1.07</v>
      </c>
      <c r="Q256" s="37">
        <v>0.4118</v>
      </c>
      <c r="R256" s="37">
        <v>0.5714</v>
      </c>
      <c r="S256" s="42"/>
      <c r="T256" s="43"/>
      <c r="U256" s="56"/>
      <c r="V256" s="44"/>
      <c r="W256" s="44"/>
      <c r="X256" s="15"/>
    </row>
    <row r="257">
      <c r="A257" s="27" t="s">
        <v>326</v>
      </c>
      <c r="B257" s="57" t="s">
        <v>707</v>
      </c>
      <c r="C257" s="31" t="s">
        <v>55</v>
      </c>
      <c r="D257" s="48">
        <v>54.0</v>
      </c>
      <c r="E257" s="48">
        <v>8.0</v>
      </c>
      <c r="F257" s="51">
        <v>27.0</v>
      </c>
      <c r="G257" s="48">
        <v>19.0</v>
      </c>
      <c r="H257" s="48">
        <v>47.0</v>
      </c>
      <c r="I257" s="48">
        <v>12.0</v>
      </c>
      <c r="J257" s="36">
        <v>0.1481</v>
      </c>
      <c r="K257" s="36">
        <v>0.5</v>
      </c>
      <c r="L257" s="36">
        <v>0.3519</v>
      </c>
      <c r="M257" s="37">
        <v>0.2553</v>
      </c>
      <c r="N257" s="54" t="s">
        <v>34</v>
      </c>
      <c r="O257" s="39">
        <v>1.34285714285714</v>
      </c>
      <c r="P257" s="41">
        <v>0.87037037037037</v>
      </c>
      <c r="Q257" s="37">
        <v>0.6481</v>
      </c>
      <c r="R257" s="37">
        <v>0.2286</v>
      </c>
      <c r="S257" s="42"/>
      <c r="T257" s="55"/>
      <c r="U257" s="56"/>
      <c r="V257" s="44"/>
      <c r="W257" s="44"/>
      <c r="X257" s="15"/>
    </row>
    <row r="258">
      <c r="A258" s="27" t="s">
        <v>569</v>
      </c>
      <c r="B258" s="57" t="s">
        <v>708</v>
      </c>
      <c r="C258" s="31" t="s">
        <v>33</v>
      </c>
      <c r="D258" s="32">
        <v>57.0</v>
      </c>
      <c r="E258" s="32">
        <v>3.0</v>
      </c>
      <c r="F258" s="34">
        <v>13.0</v>
      </c>
      <c r="G258" s="32">
        <v>41.0</v>
      </c>
      <c r="H258" s="32">
        <v>38.0</v>
      </c>
      <c r="I258" s="32">
        <v>22.0</v>
      </c>
      <c r="J258" s="36">
        <v>0.0526</v>
      </c>
      <c r="K258" s="36">
        <v>0.2281</v>
      </c>
      <c r="L258" s="36">
        <v>0.7193</v>
      </c>
      <c r="M258" s="37">
        <v>0.5789</v>
      </c>
      <c r="N258" s="38">
        <v>0.5789</v>
      </c>
      <c r="O258" s="39">
        <v>2.38</v>
      </c>
      <c r="P258" s="41">
        <v>0.67</v>
      </c>
      <c r="Q258" s="37">
        <v>0.2807</v>
      </c>
      <c r="R258" s="37">
        <v>0.1875</v>
      </c>
      <c r="S258" s="70"/>
      <c r="T258" s="55"/>
      <c r="U258" s="56"/>
      <c r="V258" s="44"/>
      <c r="W258" s="44"/>
      <c r="X258" s="15"/>
    </row>
    <row r="259">
      <c r="A259" s="27" t="s">
        <v>170</v>
      </c>
      <c r="B259" s="57" t="s">
        <v>709</v>
      </c>
      <c r="C259" s="31" t="s">
        <v>42</v>
      </c>
      <c r="D259" s="48">
        <v>37.0</v>
      </c>
      <c r="E259" s="48">
        <v>13.0</v>
      </c>
      <c r="F259" s="51">
        <v>10.0</v>
      </c>
      <c r="G259" s="48">
        <v>14.0</v>
      </c>
      <c r="H259" s="48">
        <v>56.0</v>
      </c>
      <c r="I259" s="48">
        <v>33.0</v>
      </c>
      <c r="J259" s="36">
        <v>0.3514</v>
      </c>
      <c r="K259" s="36">
        <v>0.2703</v>
      </c>
      <c r="L259" s="36">
        <v>0.3784</v>
      </c>
      <c r="M259" s="37">
        <v>0.5893</v>
      </c>
      <c r="N259" s="54">
        <v>56.36</v>
      </c>
      <c r="O259" s="39">
        <v>2.43</v>
      </c>
      <c r="P259" s="41">
        <v>1.51</v>
      </c>
      <c r="Q259" s="37">
        <v>0.6216</v>
      </c>
      <c r="R259" s="37">
        <v>0.5652</v>
      </c>
      <c r="S259" s="42"/>
      <c r="T259" s="55"/>
      <c r="U259" s="56"/>
      <c r="V259" s="44"/>
      <c r="W259" s="44"/>
      <c r="X259" s="15"/>
    </row>
    <row r="260">
      <c r="A260" s="27" t="s">
        <v>446</v>
      </c>
      <c r="B260" s="57" t="s">
        <v>710</v>
      </c>
      <c r="C260" s="31" t="s">
        <v>42</v>
      </c>
      <c r="D260" s="48">
        <v>84.0</v>
      </c>
      <c r="E260" s="48">
        <v>43.0</v>
      </c>
      <c r="F260" s="51">
        <v>33.0</v>
      </c>
      <c r="G260" s="48">
        <v>8.0</v>
      </c>
      <c r="H260" s="48">
        <v>186.0</v>
      </c>
      <c r="I260" s="48">
        <v>110.0</v>
      </c>
      <c r="J260" s="36">
        <v>0.5119</v>
      </c>
      <c r="K260" s="36">
        <v>0.3929</v>
      </c>
      <c r="L260" s="36">
        <v>0.0952</v>
      </c>
      <c r="M260" s="37">
        <v>0.5914</v>
      </c>
      <c r="N260" s="54"/>
      <c r="O260" s="39">
        <v>2.45</v>
      </c>
      <c r="P260" s="41">
        <v>2.21</v>
      </c>
      <c r="Q260" s="37">
        <v>0.9048</v>
      </c>
      <c r="R260" s="37">
        <v>0.5658</v>
      </c>
      <c r="S260" s="42"/>
      <c r="T260" s="55"/>
      <c r="U260" s="56"/>
      <c r="V260" s="44"/>
      <c r="W260" s="44"/>
      <c r="X260" s="15"/>
    </row>
    <row r="261">
      <c r="A261" s="27" t="s">
        <v>514</v>
      </c>
      <c r="B261" s="47"/>
      <c r="C261" s="31" t="s">
        <v>31</v>
      </c>
      <c r="D261" s="48">
        <v>17.0</v>
      </c>
      <c r="E261" s="48">
        <v>3.0</v>
      </c>
      <c r="F261" s="51">
        <v>7.0</v>
      </c>
      <c r="G261" s="48">
        <v>7.0</v>
      </c>
      <c r="H261" s="48">
        <v>14.0</v>
      </c>
      <c r="I261" s="48">
        <v>4.0</v>
      </c>
      <c r="J261" s="36">
        <v>0.1765</v>
      </c>
      <c r="K261" s="36">
        <v>0.4118</v>
      </c>
      <c r="L261" s="36">
        <v>0.4118</v>
      </c>
      <c r="M261" s="37">
        <v>0.2857</v>
      </c>
      <c r="N261" s="54" t="s">
        <v>34</v>
      </c>
      <c r="O261" s="39">
        <v>1.4</v>
      </c>
      <c r="P261" s="41">
        <v>0.823529411764705</v>
      </c>
      <c r="Q261" s="37">
        <v>0.5882</v>
      </c>
      <c r="R261" s="37">
        <v>0.3</v>
      </c>
      <c r="S261" s="42"/>
      <c r="T261" s="43"/>
      <c r="U261" s="56"/>
      <c r="V261" s="44"/>
      <c r="W261" s="44"/>
      <c r="X261" s="15"/>
    </row>
    <row r="262">
      <c r="A262" s="27" t="s">
        <v>616</v>
      </c>
      <c r="B262" s="57" t="s">
        <v>711</v>
      </c>
      <c r="C262" s="31" t="s">
        <v>46</v>
      </c>
      <c r="D262" s="48">
        <v>31.0</v>
      </c>
      <c r="E262" s="48">
        <v>5.0</v>
      </c>
      <c r="F262" s="51">
        <v>12.0</v>
      </c>
      <c r="G262" s="48">
        <v>14.0</v>
      </c>
      <c r="H262" s="48">
        <v>29.0</v>
      </c>
      <c r="I262" s="48">
        <v>12.0</v>
      </c>
      <c r="J262" s="36">
        <v>0.1613</v>
      </c>
      <c r="K262" s="36">
        <v>0.3871</v>
      </c>
      <c r="L262" s="36">
        <v>0.45159999999999995</v>
      </c>
      <c r="M262" s="37">
        <v>0.4138</v>
      </c>
      <c r="N262" s="54" t="s">
        <v>34</v>
      </c>
      <c r="O262" s="39">
        <v>1.71</v>
      </c>
      <c r="P262" s="41">
        <v>0.94</v>
      </c>
      <c r="Q262" s="37">
        <v>0.5484</v>
      </c>
      <c r="R262" s="37">
        <v>0.29410000000000003</v>
      </c>
      <c r="S262" s="42"/>
      <c r="T262" s="55"/>
      <c r="U262" s="56"/>
      <c r="V262" s="44"/>
      <c r="W262" s="44"/>
      <c r="X262" s="15"/>
    </row>
    <row r="263">
      <c r="A263" s="27" t="s">
        <v>361</v>
      </c>
      <c r="B263" s="57" t="s">
        <v>712</v>
      </c>
      <c r="C263" s="31" t="s">
        <v>31</v>
      </c>
      <c r="D263" s="48">
        <v>51.0</v>
      </c>
      <c r="E263" s="48">
        <v>12.0</v>
      </c>
      <c r="F263" s="51">
        <v>28.0</v>
      </c>
      <c r="G263" s="48">
        <v>11.0</v>
      </c>
      <c r="H263" s="48">
        <v>88.0</v>
      </c>
      <c r="I263" s="48">
        <v>48.0</v>
      </c>
      <c r="J263" s="36">
        <v>0.2353</v>
      </c>
      <c r="K263" s="36">
        <v>0.5489999999999999</v>
      </c>
      <c r="L263" s="36">
        <v>0.2157</v>
      </c>
      <c r="M263" s="37">
        <v>0.5455</v>
      </c>
      <c r="N263" s="54" t="s">
        <v>34</v>
      </c>
      <c r="O263" s="39">
        <v>2.2</v>
      </c>
      <c r="P263" s="41">
        <v>1.73</v>
      </c>
      <c r="Q263" s="37">
        <v>0.7843000000000001</v>
      </c>
      <c r="R263" s="37">
        <v>0.3</v>
      </c>
      <c r="S263" s="42"/>
      <c r="T263" s="55"/>
      <c r="U263" s="56"/>
      <c r="V263" s="44"/>
      <c r="W263" s="44"/>
      <c r="X263" s="15"/>
    </row>
    <row r="264">
      <c r="A264" s="27" t="s">
        <v>227</v>
      </c>
      <c r="B264" s="29" t="s">
        <v>713</v>
      </c>
      <c r="C264" s="31" t="s">
        <v>46</v>
      </c>
      <c r="D264" s="32">
        <v>19.0</v>
      </c>
      <c r="E264" s="32">
        <v>4.0</v>
      </c>
      <c r="F264" s="34">
        <v>8.0</v>
      </c>
      <c r="G264" s="32">
        <v>7.0</v>
      </c>
      <c r="H264" s="32">
        <v>17.0</v>
      </c>
      <c r="I264" s="32">
        <v>5.0</v>
      </c>
      <c r="J264" s="36">
        <v>0.2105</v>
      </c>
      <c r="K264" s="36">
        <v>0.4211</v>
      </c>
      <c r="L264" s="36">
        <v>0.3684</v>
      </c>
      <c r="M264" s="37">
        <v>0.2857</v>
      </c>
      <c r="N264" s="38">
        <v>0.2941</v>
      </c>
      <c r="O264" s="39">
        <v>1.42</v>
      </c>
      <c r="P264" s="41">
        <v>0.89</v>
      </c>
      <c r="Q264" s="37">
        <v>0.6316</v>
      </c>
      <c r="R264" s="37">
        <v>0.3333</v>
      </c>
      <c r="S264" s="42"/>
      <c r="T264" s="55"/>
      <c r="U264" s="56"/>
      <c r="V264" s="44"/>
      <c r="W264" s="44"/>
      <c r="X264" s="15"/>
    </row>
    <row r="265">
      <c r="A265" s="27" t="s">
        <v>287</v>
      </c>
      <c r="B265" s="103" t="s">
        <v>714</v>
      </c>
      <c r="C265" s="31" t="s">
        <v>42</v>
      </c>
      <c r="D265" s="32">
        <v>161.0</v>
      </c>
      <c r="E265" s="32">
        <v>26.0</v>
      </c>
      <c r="F265" s="34">
        <v>69.0</v>
      </c>
      <c r="G265" s="32">
        <v>66.0</v>
      </c>
      <c r="H265" s="32">
        <v>204.0</v>
      </c>
      <c r="I265" s="32">
        <v>109.0</v>
      </c>
      <c r="J265" s="36">
        <v>0.1615</v>
      </c>
      <c r="K265" s="36">
        <v>0.4286</v>
      </c>
      <c r="L265" s="36">
        <v>0.4099</v>
      </c>
      <c r="M265" s="37"/>
      <c r="N265" s="38">
        <v>0.5343</v>
      </c>
      <c r="O265" s="32">
        <v>2.15</v>
      </c>
      <c r="P265" s="34">
        <v>1.27</v>
      </c>
      <c r="Q265" s="37">
        <v>0.5901</v>
      </c>
      <c r="R265" s="37">
        <v>0.2737</v>
      </c>
      <c r="S265" s="42"/>
      <c r="T265" s="43"/>
      <c r="U265" s="56"/>
      <c r="V265" s="44"/>
      <c r="W265" s="44"/>
      <c r="X265" s="15"/>
    </row>
    <row r="266">
      <c r="A266" s="27" t="s">
        <v>532</v>
      </c>
      <c r="B266" s="103" t="s">
        <v>715</v>
      </c>
      <c r="C266" s="31" t="s">
        <v>46</v>
      </c>
      <c r="D266" s="32">
        <v>83.0</v>
      </c>
      <c r="E266" s="32">
        <v>10.0</v>
      </c>
      <c r="F266" s="34">
        <v>27.0</v>
      </c>
      <c r="G266" s="32">
        <v>46.0</v>
      </c>
      <c r="H266" s="32">
        <v>57.0</v>
      </c>
      <c r="I266" s="32">
        <v>20.0</v>
      </c>
      <c r="J266" s="36">
        <v>0.1205</v>
      </c>
      <c r="K266" s="36">
        <v>0.3253</v>
      </c>
      <c r="L266" s="36">
        <v>0.5542</v>
      </c>
      <c r="M266" s="37"/>
      <c r="N266" s="38">
        <v>0.3509</v>
      </c>
      <c r="O266" s="32">
        <v>1.54</v>
      </c>
      <c r="P266" s="34">
        <v>0.69</v>
      </c>
      <c r="Q266" s="37">
        <v>0.4458</v>
      </c>
      <c r="R266" s="37">
        <v>0.2703</v>
      </c>
      <c r="S266" s="42"/>
      <c r="T266" s="55"/>
      <c r="U266" s="56"/>
      <c r="V266" s="44"/>
      <c r="W266" s="44"/>
      <c r="X266" s="15"/>
    </row>
    <row r="267">
      <c r="A267" s="27" t="s">
        <v>321</v>
      </c>
      <c r="B267" s="103" t="s">
        <v>716</v>
      </c>
      <c r="C267" s="31" t="s">
        <v>42</v>
      </c>
      <c r="D267" s="32">
        <v>22.0</v>
      </c>
      <c r="E267" s="32">
        <v>9.0</v>
      </c>
      <c r="F267" s="34">
        <v>7.0</v>
      </c>
      <c r="G267" s="32">
        <v>6.0</v>
      </c>
      <c r="H267" s="32">
        <v>37.0</v>
      </c>
      <c r="I267" s="32">
        <v>21.0</v>
      </c>
      <c r="J267" s="36">
        <v>0.4091</v>
      </c>
      <c r="K267" s="36">
        <v>0.3182</v>
      </c>
      <c r="L267" s="36">
        <v>0.2727</v>
      </c>
      <c r="M267" s="37"/>
      <c r="N267" s="38">
        <v>0.5676</v>
      </c>
      <c r="O267" s="32">
        <v>2.31</v>
      </c>
      <c r="P267" s="34">
        <v>1.68</v>
      </c>
      <c r="Q267" s="37">
        <v>0.7273</v>
      </c>
      <c r="R267" s="37">
        <v>0.5625</v>
      </c>
      <c r="S267" s="42"/>
      <c r="T267" s="55"/>
      <c r="U267" s="56"/>
      <c r="V267" s="44"/>
      <c r="W267" s="44"/>
      <c r="X267" s="15"/>
    </row>
    <row r="268">
      <c r="A268" s="27" t="s">
        <v>301</v>
      </c>
      <c r="B268" s="101" t="s">
        <v>717</v>
      </c>
      <c r="C268" s="31" t="s">
        <v>42</v>
      </c>
      <c r="D268" s="32">
        <v>10.0</v>
      </c>
      <c r="E268" s="32">
        <v>0.0</v>
      </c>
      <c r="F268" s="34">
        <v>5.0</v>
      </c>
      <c r="G268" s="32">
        <v>5.0</v>
      </c>
      <c r="H268" s="32">
        <v>5.0</v>
      </c>
      <c r="I268" s="32">
        <v>0.0</v>
      </c>
      <c r="J268" s="36">
        <v>0.0</v>
      </c>
      <c r="K268" s="36">
        <v>0.5</v>
      </c>
      <c r="L268" s="36">
        <v>0.5</v>
      </c>
      <c r="M268" s="37"/>
      <c r="N268" s="38">
        <v>0.0</v>
      </c>
      <c r="O268" s="32">
        <v>1.0</v>
      </c>
      <c r="P268" s="34">
        <v>0.5</v>
      </c>
      <c r="Q268" s="37">
        <v>0.5</v>
      </c>
      <c r="R268" s="37">
        <v>0.0</v>
      </c>
      <c r="S268" s="42"/>
      <c r="T268" s="55"/>
      <c r="U268" s="56"/>
      <c r="V268" s="44"/>
      <c r="W268" s="44"/>
      <c r="X268" s="15"/>
    </row>
    <row r="269">
      <c r="A269" s="27" t="s">
        <v>154</v>
      </c>
      <c r="B269" s="101" t="s">
        <v>718</v>
      </c>
      <c r="C269" s="31" t="s">
        <v>42</v>
      </c>
      <c r="D269" s="32">
        <v>41.0</v>
      </c>
      <c r="E269" s="32">
        <v>12.0</v>
      </c>
      <c r="F269" s="34">
        <v>12.0</v>
      </c>
      <c r="G269" s="32">
        <v>17.0</v>
      </c>
      <c r="H269" s="32">
        <v>49.0</v>
      </c>
      <c r="I269" s="32">
        <v>25.0</v>
      </c>
      <c r="J269" s="36">
        <v>0.2927</v>
      </c>
      <c r="K269" s="36">
        <v>0.2927</v>
      </c>
      <c r="L269" s="36">
        <v>0.4146</v>
      </c>
      <c r="M269" s="37"/>
      <c r="N269" s="38">
        <v>0.5102</v>
      </c>
      <c r="O269" s="32">
        <v>2.04</v>
      </c>
      <c r="P269" s="34">
        <v>1.2</v>
      </c>
      <c r="Q269" s="37">
        <v>0.5854</v>
      </c>
      <c r="R269" s="37">
        <v>0.5</v>
      </c>
      <c r="S269" s="42"/>
      <c r="T269" s="55"/>
      <c r="U269" s="56"/>
      <c r="V269" s="44"/>
      <c r="W269" s="44"/>
      <c r="X269" s="15"/>
    </row>
    <row r="270">
      <c r="A270" s="27" t="s">
        <v>236</v>
      </c>
      <c r="B270" s="104"/>
      <c r="C270" s="31" t="s">
        <v>124</v>
      </c>
      <c r="D270" s="32">
        <v>262.0</v>
      </c>
      <c r="E270" s="32">
        <v>72.0</v>
      </c>
      <c r="F270" s="34">
        <v>115.0</v>
      </c>
      <c r="G270" s="32">
        <v>65.0</v>
      </c>
      <c r="H270" s="32">
        <v>337.0</v>
      </c>
      <c r="I270" s="32">
        <v>150.0</v>
      </c>
      <c r="J270" s="36">
        <v>0.2915</v>
      </c>
      <c r="K270" s="36">
        <v>0.5438</v>
      </c>
      <c r="L270" s="36">
        <v>0.2667</v>
      </c>
      <c r="M270" s="37">
        <v>0.4057</v>
      </c>
      <c r="N270" s="54" t="s">
        <v>34</v>
      </c>
      <c r="O270" s="105">
        <v>1.72</v>
      </c>
      <c r="P270" s="34">
        <v>1.3</v>
      </c>
      <c r="Q270" s="37">
        <v>0.7554</v>
      </c>
      <c r="R270" s="37">
        <v>0.4057</v>
      </c>
      <c r="S270" s="42"/>
      <c r="T270" s="55"/>
      <c r="U270" s="56"/>
      <c r="V270" s="44"/>
      <c r="W270" s="44"/>
      <c r="X270" s="15"/>
    </row>
    <row r="271">
      <c r="A271" s="27" t="s">
        <v>171</v>
      </c>
      <c r="B271" s="101" t="s">
        <v>719</v>
      </c>
      <c r="C271" s="31" t="s">
        <v>42</v>
      </c>
      <c r="D271" s="32">
        <v>39.0</v>
      </c>
      <c r="E271" s="32">
        <v>12.0</v>
      </c>
      <c r="F271" s="34">
        <v>8.0</v>
      </c>
      <c r="G271" s="32">
        <v>19.0</v>
      </c>
      <c r="H271" s="32">
        <v>43.0</v>
      </c>
      <c r="I271" s="32">
        <v>23.0</v>
      </c>
      <c r="J271" s="36">
        <v>0.3077</v>
      </c>
      <c r="K271" s="36">
        <v>0.2051</v>
      </c>
      <c r="L271" s="36">
        <v>0.4872</v>
      </c>
      <c r="M271" s="37"/>
      <c r="N271" s="38">
        <v>0.5349</v>
      </c>
      <c r="O271" s="32">
        <v>2.15</v>
      </c>
      <c r="P271" s="34">
        <v>1.1</v>
      </c>
      <c r="Q271" s="37">
        <v>0.5128</v>
      </c>
      <c r="R271" s="37">
        <v>0.6</v>
      </c>
      <c r="S271" s="42"/>
      <c r="T271" s="55"/>
      <c r="U271" s="56"/>
      <c r="V271" s="44"/>
      <c r="W271" s="44"/>
      <c r="X271" s="15"/>
    </row>
    <row r="272">
      <c r="A272" s="27" t="s">
        <v>585</v>
      </c>
      <c r="B272" s="103" t="s">
        <v>720</v>
      </c>
      <c r="C272" s="31" t="s">
        <v>42</v>
      </c>
      <c r="D272" s="32">
        <v>45.0</v>
      </c>
      <c r="E272" s="32">
        <v>23.0</v>
      </c>
      <c r="F272" s="34">
        <v>9.0</v>
      </c>
      <c r="G272" s="32">
        <v>13.0</v>
      </c>
      <c r="H272" s="32">
        <v>84.0</v>
      </c>
      <c r="I272" s="32">
        <v>52.0</v>
      </c>
      <c r="J272" s="36">
        <v>0.5111</v>
      </c>
      <c r="K272" s="36">
        <v>0.2</v>
      </c>
      <c r="L272" s="36">
        <v>0.2889</v>
      </c>
      <c r="M272" s="37"/>
      <c r="N272" s="38">
        <v>0.619</v>
      </c>
      <c r="O272" s="32">
        <v>2.63</v>
      </c>
      <c r="P272" s="34">
        <v>1.87</v>
      </c>
      <c r="Q272" s="37">
        <v>0.7111</v>
      </c>
      <c r="R272" s="37">
        <v>0.7188</v>
      </c>
      <c r="S272" s="70"/>
      <c r="T272" s="43"/>
      <c r="U272" s="56"/>
      <c r="V272" s="44"/>
      <c r="W272" s="44"/>
      <c r="X272" s="15"/>
    </row>
    <row r="273">
      <c r="A273" s="27" t="s">
        <v>480</v>
      </c>
      <c r="B273" s="101" t="s">
        <v>721</v>
      </c>
      <c r="C273" s="31" t="s">
        <v>46</v>
      </c>
      <c r="D273" s="32">
        <v>9.0</v>
      </c>
      <c r="E273" s="32">
        <v>0.0</v>
      </c>
      <c r="F273" s="34">
        <v>1.0</v>
      </c>
      <c r="G273" s="32">
        <v>8.0</v>
      </c>
      <c r="H273" s="32">
        <v>1.0</v>
      </c>
      <c r="I273" s="32">
        <v>0.0</v>
      </c>
      <c r="J273" s="36">
        <v>0.0</v>
      </c>
      <c r="K273" s="36">
        <v>0.1111</v>
      </c>
      <c r="L273" s="36">
        <v>0.8889</v>
      </c>
      <c r="M273" s="37"/>
      <c r="N273" s="38">
        <v>0.0</v>
      </c>
      <c r="O273" s="32">
        <v>1.0</v>
      </c>
      <c r="P273" s="34">
        <v>0.11</v>
      </c>
      <c r="Q273" s="37">
        <v>0.1111</v>
      </c>
      <c r="R273" s="37">
        <v>0.0</v>
      </c>
      <c r="S273" s="42"/>
      <c r="T273" s="55"/>
      <c r="U273" s="56"/>
      <c r="V273" s="44"/>
      <c r="W273" s="44"/>
      <c r="X273" s="15"/>
    </row>
    <row r="274">
      <c r="A274" s="27" t="s">
        <v>156</v>
      </c>
      <c r="B274" s="103" t="s">
        <v>722</v>
      </c>
      <c r="C274" s="31" t="s">
        <v>42</v>
      </c>
      <c r="D274" s="32">
        <v>110.0</v>
      </c>
      <c r="E274" s="32">
        <v>47.0</v>
      </c>
      <c r="F274" s="34">
        <v>36.0</v>
      </c>
      <c r="G274" s="32">
        <v>27.0</v>
      </c>
      <c r="H274" s="32">
        <v>224.0</v>
      </c>
      <c r="I274" s="32">
        <v>141.0</v>
      </c>
      <c r="J274" s="36">
        <v>0.4273</v>
      </c>
      <c r="K274" s="36">
        <v>0.3273</v>
      </c>
      <c r="L274" s="36">
        <v>0.2455</v>
      </c>
      <c r="M274" s="37"/>
      <c r="N274" s="38">
        <v>0.6295</v>
      </c>
      <c r="O274" s="32">
        <v>2.7</v>
      </c>
      <c r="P274" s="34">
        <v>2.04</v>
      </c>
      <c r="Q274" s="37">
        <v>0.7545</v>
      </c>
      <c r="R274" s="37">
        <v>0.5663</v>
      </c>
      <c r="S274" s="42"/>
      <c r="T274" s="55"/>
      <c r="U274" s="56"/>
      <c r="V274" s="44"/>
      <c r="W274" s="44"/>
      <c r="X274" s="15"/>
    </row>
    <row r="275">
      <c r="A275" s="27" t="s">
        <v>388</v>
      </c>
      <c r="B275" s="101" t="s">
        <v>723</v>
      </c>
      <c r="C275" s="31" t="s">
        <v>26</v>
      </c>
      <c r="D275" s="32">
        <v>22.0</v>
      </c>
      <c r="E275" s="32">
        <v>8.0</v>
      </c>
      <c r="F275" s="34">
        <v>10.0</v>
      </c>
      <c r="G275" s="32">
        <v>4.0</v>
      </c>
      <c r="H275" s="32">
        <v>42.0</v>
      </c>
      <c r="I275" s="32">
        <v>24.0</v>
      </c>
      <c r="J275" s="36">
        <v>0.3636</v>
      </c>
      <c r="K275" s="36">
        <v>0.4545</v>
      </c>
      <c r="L275" s="36">
        <v>0.1818</v>
      </c>
      <c r="M275" s="37"/>
      <c r="N275" s="38">
        <v>0.5714</v>
      </c>
      <c r="O275" s="32">
        <v>2.33</v>
      </c>
      <c r="P275" s="34">
        <v>1.91</v>
      </c>
      <c r="Q275" s="37">
        <v>0.8182</v>
      </c>
      <c r="R275" s="37">
        <v>0.4444</v>
      </c>
      <c r="S275" s="42"/>
      <c r="T275" s="43"/>
      <c r="U275" s="56"/>
      <c r="V275" s="44"/>
      <c r="W275" s="44"/>
      <c r="X275" s="15"/>
    </row>
    <row r="276">
      <c r="A276" s="27" t="s">
        <v>619</v>
      </c>
      <c r="B276" s="104"/>
      <c r="C276" s="31" t="s">
        <v>31</v>
      </c>
      <c r="D276" s="32">
        <v>121.0</v>
      </c>
      <c r="E276" s="32">
        <v>8.0</v>
      </c>
      <c r="F276" s="32">
        <v>43.0</v>
      </c>
      <c r="G276" s="34">
        <v>70.0</v>
      </c>
      <c r="H276" s="32">
        <v>72.0</v>
      </c>
      <c r="I276" s="32">
        <v>21.0</v>
      </c>
      <c r="J276" s="32">
        <v>0.0661</v>
      </c>
      <c r="K276" s="36">
        <v>0.3554</v>
      </c>
      <c r="L276" s="36">
        <v>0.5785</v>
      </c>
      <c r="M276" s="36">
        <v>0.2917</v>
      </c>
      <c r="N276" s="32" t="s">
        <v>34</v>
      </c>
      <c r="O276" s="38">
        <v>1.41</v>
      </c>
      <c r="P276" s="32">
        <v>0.6</v>
      </c>
      <c r="Q276" s="36">
        <v>0.4215</v>
      </c>
      <c r="R276" s="37">
        <v>0.15689999999999998</v>
      </c>
      <c r="S276" s="42"/>
      <c r="T276" s="43"/>
      <c r="U276" s="56"/>
      <c r="V276" s="44"/>
      <c r="W276" s="44"/>
      <c r="X276" s="15"/>
    </row>
    <row r="277">
      <c r="A277" s="27" t="s">
        <v>384</v>
      </c>
      <c r="B277" s="103" t="s">
        <v>724</v>
      </c>
      <c r="C277" s="31" t="s">
        <v>98</v>
      </c>
      <c r="D277" s="32">
        <v>71.0</v>
      </c>
      <c r="E277" s="32">
        <v>29.0</v>
      </c>
      <c r="F277" s="34">
        <v>39.0</v>
      </c>
      <c r="G277" s="32">
        <v>3.0</v>
      </c>
      <c r="H277" s="32">
        <v>114.0</v>
      </c>
      <c r="I277" s="32">
        <v>46.0</v>
      </c>
      <c r="J277" s="36">
        <v>0.4085</v>
      </c>
      <c r="K277" s="36">
        <v>0.5493</v>
      </c>
      <c r="L277" s="36">
        <v>0.0423</v>
      </c>
      <c r="M277" s="37"/>
      <c r="N277" s="38">
        <v>0.4035</v>
      </c>
      <c r="O277" s="32">
        <v>1.68</v>
      </c>
      <c r="P277" s="34">
        <v>1.61</v>
      </c>
      <c r="Q277" s="37">
        <v>0.9577</v>
      </c>
      <c r="R277" s="37">
        <v>0.4265</v>
      </c>
      <c r="S277" s="42"/>
      <c r="T277" s="43"/>
      <c r="U277" s="56"/>
      <c r="V277" s="44"/>
      <c r="W277" s="44"/>
      <c r="X277" s="15"/>
    </row>
    <row r="278">
      <c r="A278" s="27" t="s">
        <v>230</v>
      </c>
      <c r="B278" s="101" t="s">
        <v>725</v>
      </c>
      <c r="C278" s="31" t="s">
        <v>124</v>
      </c>
      <c r="D278" s="32">
        <v>137.0</v>
      </c>
      <c r="E278" s="32">
        <v>44.0</v>
      </c>
      <c r="F278" s="34">
        <v>71.0</v>
      </c>
      <c r="G278" s="32">
        <v>22.0</v>
      </c>
      <c r="H278" s="32">
        <v>544.0</v>
      </c>
      <c r="I278" s="32">
        <v>429.0</v>
      </c>
      <c r="J278" s="36">
        <v>0.3212</v>
      </c>
      <c r="K278" s="36">
        <v>0.5182</v>
      </c>
      <c r="L278" s="36">
        <v>0.1606</v>
      </c>
      <c r="M278" s="37"/>
      <c r="N278" s="38">
        <v>0.7886</v>
      </c>
      <c r="O278" s="32">
        <v>4.73</v>
      </c>
      <c r="P278" s="34">
        <v>3.97</v>
      </c>
      <c r="Q278" s="37">
        <v>0.8394</v>
      </c>
      <c r="R278" s="37">
        <v>0.3826</v>
      </c>
      <c r="S278" s="42"/>
      <c r="T278" s="43"/>
      <c r="U278" s="56"/>
      <c r="V278" s="44"/>
      <c r="W278" s="44"/>
      <c r="X278" s="15"/>
    </row>
    <row r="279">
      <c r="A279" s="27" t="s">
        <v>295</v>
      </c>
      <c r="B279" s="31"/>
      <c r="C279" s="31" t="s">
        <v>42</v>
      </c>
      <c r="D279" s="32">
        <v>72.0</v>
      </c>
      <c r="E279" s="32">
        <v>32.0</v>
      </c>
      <c r="F279" s="34">
        <v>39.0</v>
      </c>
      <c r="G279" s="32">
        <v>1.0</v>
      </c>
      <c r="H279" s="32">
        <v>142.0</v>
      </c>
      <c r="I279" s="32">
        <v>71.0</v>
      </c>
      <c r="J279" s="36">
        <v>0.4444</v>
      </c>
      <c r="K279" s="36">
        <v>0.5417</v>
      </c>
      <c r="L279" s="36">
        <v>0.0139</v>
      </c>
      <c r="M279" s="37"/>
      <c r="N279" s="38">
        <v>0.5</v>
      </c>
      <c r="O279" s="32">
        <v>2.0</v>
      </c>
      <c r="P279" s="34">
        <v>1.97</v>
      </c>
      <c r="Q279" s="37">
        <v>0.9861</v>
      </c>
      <c r="R279" s="37">
        <v>0.4507</v>
      </c>
      <c r="S279" s="42"/>
      <c r="T279" s="43"/>
      <c r="U279" s="56"/>
      <c r="V279" s="44"/>
      <c r="W279" s="44"/>
      <c r="X279" s="15"/>
    </row>
    <row r="280">
      <c r="A280" s="27" t="s">
        <v>554</v>
      </c>
      <c r="B280" s="31"/>
      <c r="C280" s="31" t="s">
        <v>42</v>
      </c>
      <c r="D280" s="32">
        <v>10.0</v>
      </c>
      <c r="E280" s="32">
        <v>0.0</v>
      </c>
      <c r="F280" s="34">
        <v>4.0</v>
      </c>
      <c r="G280" s="32">
        <v>6.0</v>
      </c>
      <c r="H280" s="32">
        <v>4.0</v>
      </c>
      <c r="I280" s="32">
        <v>0.0</v>
      </c>
      <c r="J280" s="36">
        <v>0.0</v>
      </c>
      <c r="K280" s="36">
        <v>0.4</v>
      </c>
      <c r="L280" s="36">
        <v>0.6</v>
      </c>
      <c r="M280" s="37"/>
      <c r="N280" s="38">
        <v>0.0</v>
      </c>
      <c r="O280" s="32">
        <v>1.0</v>
      </c>
      <c r="P280" s="34">
        <v>0.4</v>
      </c>
      <c r="Q280" s="37">
        <v>0.4</v>
      </c>
      <c r="R280" s="37">
        <v>0.0</v>
      </c>
      <c r="S280" s="42"/>
      <c r="T280" s="43"/>
      <c r="U280" s="56"/>
      <c r="V280" s="44"/>
      <c r="W280" s="44"/>
      <c r="X280" s="15"/>
    </row>
    <row r="281">
      <c r="A281" s="27" t="s">
        <v>211</v>
      </c>
      <c r="B281" s="31"/>
      <c r="C281" s="31" t="s">
        <v>124</v>
      </c>
      <c r="D281" s="32">
        <v>22.0</v>
      </c>
      <c r="E281" s="32">
        <v>4.0</v>
      </c>
      <c r="F281" s="32">
        <v>7.0</v>
      </c>
      <c r="G281" s="34">
        <v>11.0</v>
      </c>
      <c r="H281" s="32">
        <v>19.0</v>
      </c>
      <c r="I281" s="32">
        <v>8.0</v>
      </c>
      <c r="J281" s="106">
        <v>0.1818</v>
      </c>
      <c r="K281" s="36">
        <v>0.3182</v>
      </c>
      <c r="L281" s="36">
        <v>0.5</v>
      </c>
      <c r="M281" s="36">
        <v>0.4211</v>
      </c>
      <c r="N281" s="38">
        <v>1.73</v>
      </c>
      <c r="O281" s="32">
        <v>1.73</v>
      </c>
      <c r="P281" s="34">
        <v>0.86</v>
      </c>
      <c r="Q281" s="37">
        <v>0.5</v>
      </c>
      <c r="R281" s="37">
        <v>0.3636</v>
      </c>
      <c r="S281" s="42"/>
      <c r="T281" s="43"/>
      <c r="U281" s="56"/>
      <c r="V281" s="44"/>
      <c r="W281" s="44"/>
      <c r="X281" s="15"/>
    </row>
    <row r="282">
      <c r="A282" s="27" t="s">
        <v>625</v>
      </c>
      <c r="B282" s="31"/>
      <c r="C282" s="31" t="s">
        <v>46</v>
      </c>
      <c r="D282" s="32">
        <v>22.0</v>
      </c>
      <c r="E282" s="32">
        <v>6.0</v>
      </c>
      <c r="F282" s="34">
        <v>10.0</v>
      </c>
      <c r="G282" s="32">
        <v>6.0</v>
      </c>
      <c r="H282" s="32">
        <v>34.0</v>
      </c>
      <c r="I282" s="32">
        <v>18.0</v>
      </c>
      <c r="J282" s="36">
        <v>0.2727</v>
      </c>
      <c r="K282" s="36">
        <v>0.4545</v>
      </c>
      <c r="L282" s="36">
        <v>0.2727</v>
      </c>
      <c r="M282" s="37"/>
      <c r="N282" s="38">
        <v>0.5294</v>
      </c>
      <c r="O282" s="32">
        <v>2.13</v>
      </c>
      <c r="P282" s="34">
        <v>1.55</v>
      </c>
      <c r="Q282" s="37">
        <v>0.7273</v>
      </c>
      <c r="R282" s="37">
        <v>0.375</v>
      </c>
      <c r="S282" s="42"/>
      <c r="T282" s="43"/>
      <c r="U282" s="56"/>
      <c r="V282" s="44"/>
      <c r="W282" s="44"/>
      <c r="X282" s="15"/>
    </row>
    <row r="283">
      <c r="A283" s="27" t="s">
        <v>420</v>
      </c>
      <c r="B283" s="31"/>
      <c r="C283" s="31" t="s">
        <v>26</v>
      </c>
      <c r="D283" s="32">
        <v>58.0</v>
      </c>
      <c r="E283" s="32">
        <v>14.0</v>
      </c>
      <c r="F283" s="34">
        <v>37.0</v>
      </c>
      <c r="G283" s="32">
        <v>7.0</v>
      </c>
      <c r="H283" s="32">
        <v>158.0</v>
      </c>
      <c r="I283" s="32">
        <v>107.0</v>
      </c>
      <c r="J283" s="36">
        <v>0.2414</v>
      </c>
      <c r="K283" s="36">
        <v>0.6379</v>
      </c>
      <c r="L283" s="36">
        <v>0.1207</v>
      </c>
      <c r="M283" s="37"/>
      <c r="N283" s="38">
        <v>0.6772</v>
      </c>
      <c r="O283" s="32">
        <v>3.1</v>
      </c>
      <c r="P283" s="34">
        <v>2.72</v>
      </c>
      <c r="Q283" s="37">
        <v>0.8793</v>
      </c>
      <c r="R283" s="37">
        <v>0.2745</v>
      </c>
      <c r="S283" s="42"/>
      <c r="T283" s="43"/>
      <c r="U283" s="56"/>
      <c r="V283" s="44"/>
      <c r="W283" s="44"/>
      <c r="X283" s="15"/>
    </row>
    <row r="284">
      <c r="A284" s="27" t="s">
        <v>380</v>
      </c>
      <c r="B284" s="31"/>
      <c r="C284" s="31" t="s">
        <v>31</v>
      </c>
      <c r="D284" s="32">
        <v>377.0</v>
      </c>
      <c r="E284" s="32">
        <v>153.0</v>
      </c>
      <c r="F284" s="34">
        <v>116.0</v>
      </c>
      <c r="G284" s="32">
        <v>108.0</v>
      </c>
      <c r="H284" s="32">
        <v>870.0</v>
      </c>
      <c r="I284" s="32">
        <v>601.0</v>
      </c>
      <c r="J284" s="36">
        <v>0.4058</v>
      </c>
      <c r="K284" s="36">
        <v>0.3077</v>
      </c>
      <c r="L284" s="36">
        <v>0.2865</v>
      </c>
      <c r="M284" s="37"/>
      <c r="N284" s="38">
        <v>0.6908</v>
      </c>
      <c r="O284" s="32">
        <v>3.23</v>
      </c>
      <c r="P284" s="34">
        <v>2.31</v>
      </c>
      <c r="Q284" s="37">
        <v>0.7135</v>
      </c>
      <c r="R284" s="37">
        <v>0.5688</v>
      </c>
      <c r="S284" s="42"/>
      <c r="T284" s="43"/>
      <c r="U284" s="56"/>
      <c r="V284" s="44"/>
      <c r="W284" s="44"/>
      <c r="X284" s="15"/>
    </row>
    <row r="285">
      <c r="A285" s="27" t="s">
        <v>404</v>
      </c>
      <c r="B285" s="31"/>
      <c r="C285" s="31" t="s">
        <v>42</v>
      </c>
      <c r="D285" s="32">
        <v>157.0</v>
      </c>
      <c r="E285" s="32">
        <v>48.0</v>
      </c>
      <c r="F285" s="34">
        <v>81.0</v>
      </c>
      <c r="G285" s="32">
        <v>28.0</v>
      </c>
      <c r="H285" s="32">
        <v>344.0</v>
      </c>
      <c r="I285" s="32">
        <v>215.0</v>
      </c>
      <c r="J285" s="36">
        <v>0.3057</v>
      </c>
      <c r="K285" s="36">
        <v>0.5159</v>
      </c>
      <c r="L285" s="36">
        <v>0.1783</v>
      </c>
      <c r="M285" s="37"/>
      <c r="N285" s="38">
        <v>0.625</v>
      </c>
      <c r="O285" s="32">
        <v>2.67</v>
      </c>
      <c r="P285" s="34">
        <v>2.19</v>
      </c>
      <c r="Q285" s="37">
        <v>0.8217</v>
      </c>
      <c r="R285" s="37">
        <v>0.3721</v>
      </c>
      <c r="S285" s="42"/>
      <c r="T285" s="43"/>
      <c r="U285" s="56"/>
      <c r="V285" s="44"/>
      <c r="W285" s="44"/>
      <c r="X285" s="15"/>
    </row>
    <row r="286">
      <c r="A286" s="27" t="s">
        <v>161</v>
      </c>
      <c r="B286" s="31" t="s">
        <v>726</v>
      </c>
      <c r="C286" s="32" t="s">
        <v>33</v>
      </c>
      <c r="D286" s="32">
        <v>29.0</v>
      </c>
      <c r="E286" s="34">
        <v>12.0</v>
      </c>
      <c r="F286" s="32">
        <v>7.0</v>
      </c>
      <c r="G286" s="32">
        <v>10.0</v>
      </c>
      <c r="H286" s="32">
        <v>50.0</v>
      </c>
      <c r="I286" s="34">
        <v>31.0</v>
      </c>
      <c r="J286" s="36">
        <v>0.4138</v>
      </c>
      <c r="K286" s="36">
        <v>0.2414</v>
      </c>
      <c r="L286" s="37">
        <v>0.3448</v>
      </c>
      <c r="M286" s="37">
        <v>0.62</v>
      </c>
      <c r="O286" s="34">
        <v>2.63</v>
      </c>
      <c r="P286" s="32">
        <v>1.72</v>
      </c>
      <c r="Q286" s="37">
        <v>0.6552</v>
      </c>
      <c r="R286" s="107">
        <v>0.6316</v>
      </c>
      <c r="S286" s="42"/>
      <c r="T286" s="43"/>
      <c r="U286" s="56"/>
      <c r="V286" s="44"/>
      <c r="W286" s="44"/>
      <c r="X286" s="15"/>
    </row>
    <row r="287">
      <c r="A287" s="27" t="s">
        <v>435</v>
      </c>
      <c r="B287" s="31" t="s">
        <v>727</v>
      </c>
      <c r="C287" s="32" t="s">
        <v>42</v>
      </c>
      <c r="D287" s="32">
        <v>8.0</v>
      </c>
      <c r="E287" s="34">
        <v>2.0</v>
      </c>
      <c r="F287" s="32">
        <v>5.0</v>
      </c>
      <c r="G287" s="32">
        <v>1.0</v>
      </c>
      <c r="H287" s="32">
        <v>9.0</v>
      </c>
      <c r="I287" s="34">
        <v>2.0</v>
      </c>
      <c r="J287" s="36">
        <v>0.25</v>
      </c>
      <c r="K287" s="36">
        <v>0.625</v>
      </c>
      <c r="L287" s="37">
        <v>0.125</v>
      </c>
      <c r="M287" s="37">
        <v>0.2222</v>
      </c>
      <c r="O287" s="34">
        <v>1.29</v>
      </c>
      <c r="P287" s="32">
        <v>1.13</v>
      </c>
      <c r="Q287" s="37">
        <v>0.875</v>
      </c>
      <c r="R287" s="107">
        <v>0.2857</v>
      </c>
      <c r="S287" s="70"/>
      <c r="T287" s="43"/>
      <c r="U287" s="56"/>
      <c r="V287" s="44"/>
      <c r="W287" s="44"/>
      <c r="X287" s="15"/>
    </row>
    <row r="288">
      <c r="A288" s="27" t="s">
        <v>286</v>
      </c>
      <c r="B288" s="31" t="s">
        <v>728</v>
      </c>
      <c r="C288" s="32" t="s">
        <v>42</v>
      </c>
      <c r="D288" s="32">
        <v>13.0</v>
      </c>
      <c r="E288" s="34">
        <v>5.0</v>
      </c>
      <c r="F288" s="32">
        <v>6.0</v>
      </c>
      <c r="G288" s="32">
        <v>2.0</v>
      </c>
      <c r="H288" s="32">
        <v>20.0</v>
      </c>
      <c r="I288" s="34">
        <v>9.0</v>
      </c>
      <c r="J288" s="36">
        <v>0.385</v>
      </c>
      <c r="K288" s="36">
        <v>0.46</v>
      </c>
      <c r="L288" s="37">
        <v>0.25</v>
      </c>
      <c r="M288" s="37">
        <v>0.1538</v>
      </c>
      <c r="O288" s="34">
        <v>1.82</v>
      </c>
      <c r="P288" s="32">
        <v>1.54</v>
      </c>
      <c r="Q288" s="37">
        <v>0.846</v>
      </c>
      <c r="R288" s="107">
        <v>0.4545</v>
      </c>
      <c r="S288" s="42"/>
      <c r="T288" s="43"/>
      <c r="U288" s="56"/>
      <c r="V288" s="44"/>
      <c r="W288" s="44"/>
      <c r="X288" s="15"/>
    </row>
    <row r="289">
      <c r="A289" s="27" t="s">
        <v>594</v>
      </c>
      <c r="B289" s="31" t="s">
        <v>729</v>
      </c>
      <c r="C289" s="32" t="s">
        <v>33</v>
      </c>
      <c r="D289" s="32">
        <v>70.0</v>
      </c>
      <c r="E289" s="34">
        <v>23.0</v>
      </c>
      <c r="F289" s="32">
        <v>32.0</v>
      </c>
      <c r="G289" s="32">
        <v>15.0</v>
      </c>
      <c r="H289" s="32">
        <v>107.0</v>
      </c>
      <c r="I289" s="34">
        <v>52.0</v>
      </c>
      <c r="J289" s="36">
        <v>0.3286</v>
      </c>
      <c r="K289" s="36">
        <v>0.4571</v>
      </c>
      <c r="L289" s="37">
        <v>0.2143</v>
      </c>
      <c r="M289" s="37">
        <v>0.486</v>
      </c>
      <c r="O289" s="34">
        <v>1.95</v>
      </c>
      <c r="P289" s="32">
        <v>1.53</v>
      </c>
      <c r="Q289" s="37">
        <v>0.7857</v>
      </c>
      <c r="R289" s="107">
        <v>0.4182</v>
      </c>
      <c r="S289" s="42"/>
      <c r="T289" s="43"/>
      <c r="U289" s="56"/>
      <c r="V289" s="44"/>
      <c r="W289" s="44"/>
      <c r="X289" s="15"/>
    </row>
    <row r="290">
      <c r="A290" s="27" t="s">
        <v>181</v>
      </c>
      <c r="B290" s="31" t="s">
        <v>730</v>
      </c>
      <c r="C290" s="32" t="s">
        <v>26</v>
      </c>
      <c r="D290" s="32">
        <v>108.0</v>
      </c>
      <c r="E290" s="34">
        <v>22.0</v>
      </c>
      <c r="F290" s="32">
        <v>52.0</v>
      </c>
      <c r="G290" s="32">
        <v>34.0</v>
      </c>
      <c r="H290" s="32">
        <v>107.0</v>
      </c>
      <c r="I290" s="34">
        <v>33.0</v>
      </c>
      <c r="J290" s="36">
        <v>0.2037</v>
      </c>
      <c r="K290" s="36">
        <v>0.4815</v>
      </c>
      <c r="L290" s="37">
        <v>0.3148</v>
      </c>
      <c r="M290" s="37">
        <v>0.3084</v>
      </c>
      <c r="O290" s="34">
        <v>1.45</v>
      </c>
      <c r="P290" s="32">
        <v>0.99</v>
      </c>
      <c r="Q290" s="37">
        <v>0.6852</v>
      </c>
      <c r="R290" s="107">
        <v>0.2973</v>
      </c>
      <c r="S290" s="42"/>
      <c r="T290" s="55"/>
      <c r="U290" s="44"/>
      <c r="V290" s="44"/>
      <c r="W290" s="15"/>
      <c r="X290" s="15"/>
    </row>
    <row r="291">
      <c r="A291" s="27" t="s">
        <v>559</v>
      </c>
      <c r="B291" s="31" t="s">
        <v>731</v>
      </c>
      <c r="C291" s="32" t="s">
        <v>42</v>
      </c>
      <c r="D291" s="32">
        <v>22.0</v>
      </c>
      <c r="E291" s="34">
        <v>6.0</v>
      </c>
      <c r="F291" s="32">
        <v>14.0</v>
      </c>
      <c r="G291" s="32">
        <v>2.0</v>
      </c>
      <c r="H291" s="32">
        <v>39.0</v>
      </c>
      <c r="I291" s="34">
        <v>19.0</v>
      </c>
      <c r="J291" s="36">
        <v>0.2727</v>
      </c>
      <c r="K291" s="36">
        <v>0.6364</v>
      </c>
      <c r="L291" s="37">
        <v>0.0909</v>
      </c>
      <c r="M291" s="37">
        <v>0.4872</v>
      </c>
      <c r="O291" s="34">
        <v>1.95</v>
      </c>
      <c r="P291" s="32">
        <v>1.77</v>
      </c>
      <c r="Q291" s="37">
        <v>0.9091</v>
      </c>
      <c r="R291" s="107">
        <v>0.3</v>
      </c>
      <c r="S291" s="42"/>
      <c r="T291" s="55"/>
      <c r="U291" s="44"/>
      <c r="V291" s="44"/>
      <c r="W291" s="15"/>
      <c r="X291" s="15"/>
    </row>
    <row r="292">
      <c r="A292" s="27" t="s">
        <v>155</v>
      </c>
      <c r="B292" s="31" t="s">
        <v>732</v>
      </c>
      <c r="C292" s="32" t="s">
        <v>26</v>
      </c>
      <c r="D292" s="32">
        <v>29.0</v>
      </c>
      <c r="E292" s="34">
        <v>4.0</v>
      </c>
      <c r="F292" s="32">
        <v>9.0</v>
      </c>
      <c r="G292" s="32">
        <v>16.0</v>
      </c>
      <c r="H292" s="32">
        <v>20.0</v>
      </c>
      <c r="I292" s="34">
        <v>7.0</v>
      </c>
      <c r="J292" s="36">
        <v>0.1379</v>
      </c>
      <c r="K292" s="36">
        <v>0.3103</v>
      </c>
      <c r="L292" s="37">
        <v>0.5517</v>
      </c>
      <c r="M292" s="37">
        <v>0.35</v>
      </c>
      <c r="O292" s="34">
        <v>1.54</v>
      </c>
      <c r="P292" s="32">
        <v>0.69</v>
      </c>
      <c r="Q292" s="37">
        <v>0.4483</v>
      </c>
      <c r="R292" s="107">
        <v>0.3077</v>
      </c>
      <c r="S292" s="42"/>
      <c r="T292" s="55"/>
      <c r="U292" s="44"/>
      <c r="V292" s="44"/>
      <c r="W292" s="15"/>
      <c r="X292" s="15"/>
    </row>
    <row r="293">
      <c r="A293" s="27" t="s">
        <v>369</v>
      </c>
      <c r="B293" s="31" t="s">
        <v>733</v>
      </c>
      <c r="C293" s="32" t="s">
        <v>42</v>
      </c>
      <c r="D293" s="32">
        <v>19.0</v>
      </c>
      <c r="E293" s="34">
        <v>2.0</v>
      </c>
      <c r="F293" s="32">
        <v>7.0</v>
      </c>
      <c r="G293" s="32">
        <v>10.0</v>
      </c>
      <c r="H293" s="32">
        <v>13.0</v>
      </c>
      <c r="I293" s="34">
        <v>4.0</v>
      </c>
      <c r="J293" s="36">
        <v>0.1053</v>
      </c>
      <c r="K293" s="36">
        <v>0.3684</v>
      </c>
      <c r="L293" s="37">
        <v>0.5263</v>
      </c>
      <c r="M293" s="108">
        <v>0.3077</v>
      </c>
      <c r="O293" s="34">
        <v>1.44</v>
      </c>
      <c r="P293" s="32">
        <v>0.68</v>
      </c>
      <c r="Q293" s="37">
        <v>0.4737</v>
      </c>
      <c r="R293" s="107">
        <v>0.2222</v>
      </c>
      <c r="S293" s="42"/>
      <c r="T293" s="55"/>
      <c r="U293" s="44"/>
      <c r="V293" s="44"/>
      <c r="W293" s="15"/>
      <c r="X293" s="15"/>
    </row>
    <row r="294">
      <c r="A294" s="27" t="s">
        <v>254</v>
      </c>
      <c r="B294" s="31" t="s">
        <v>734</v>
      </c>
      <c r="C294" s="32" t="s">
        <v>26</v>
      </c>
      <c r="D294" s="32">
        <v>29.0</v>
      </c>
      <c r="E294" s="34">
        <v>7.0</v>
      </c>
      <c r="F294" s="32">
        <v>9.0</v>
      </c>
      <c r="G294" s="32">
        <v>13.0</v>
      </c>
      <c r="H294" s="32">
        <v>33.0</v>
      </c>
      <c r="I294" s="34">
        <v>17.0</v>
      </c>
      <c r="J294" s="36">
        <v>0.2414</v>
      </c>
      <c r="K294" s="36">
        <v>0.3103</v>
      </c>
      <c r="L294" s="37">
        <v>0.4483</v>
      </c>
      <c r="M294" s="108">
        <v>0.5152</v>
      </c>
      <c r="O294" s="34">
        <v>2.06</v>
      </c>
      <c r="P294" s="32">
        <v>1.14</v>
      </c>
      <c r="Q294" s="37">
        <v>0.5517</v>
      </c>
      <c r="R294" s="107">
        <v>0.4375</v>
      </c>
      <c r="S294" s="42"/>
      <c r="T294" s="55"/>
      <c r="U294" s="44"/>
      <c r="V294" s="44"/>
      <c r="W294" s="15"/>
      <c r="X294" s="15"/>
    </row>
    <row r="295">
      <c r="A295" s="27" t="s">
        <v>356</v>
      </c>
      <c r="B295" s="31" t="s">
        <v>735</v>
      </c>
      <c r="C295" s="32" t="s">
        <v>31</v>
      </c>
      <c r="D295" s="32">
        <v>73.0</v>
      </c>
      <c r="E295" s="34">
        <v>1.0</v>
      </c>
      <c r="F295" s="32">
        <v>17.0</v>
      </c>
      <c r="G295" s="32">
        <v>55.0</v>
      </c>
      <c r="H295" s="32">
        <v>19.0</v>
      </c>
      <c r="I295" s="34">
        <v>1.0</v>
      </c>
      <c r="J295" s="36">
        <v>0.0137</v>
      </c>
      <c r="K295" s="36">
        <v>0.2329</v>
      </c>
      <c r="L295" s="37">
        <v>0.7534</v>
      </c>
      <c r="M295" s="108">
        <v>0.0526</v>
      </c>
      <c r="O295" s="34">
        <v>1.06</v>
      </c>
      <c r="P295" s="32">
        <v>0.26</v>
      </c>
      <c r="Q295" s="37">
        <v>0.2466</v>
      </c>
      <c r="R295" s="107">
        <v>0.0556</v>
      </c>
      <c r="S295" s="42"/>
      <c r="T295" s="55"/>
      <c r="U295" s="44"/>
      <c r="V295" s="44"/>
      <c r="W295" s="15"/>
      <c r="X295" s="15"/>
    </row>
    <row r="296">
      <c r="A296" s="27" t="s">
        <v>184</v>
      </c>
      <c r="B296" s="31"/>
      <c r="C296" s="32" t="s">
        <v>26</v>
      </c>
      <c r="D296" s="32">
        <v>831.0</v>
      </c>
      <c r="E296" s="34">
        <v>18.0</v>
      </c>
      <c r="F296" s="32">
        <v>652.0</v>
      </c>
      <c r="G296" s="32">
        <v>161.0</v>
      </c>
      <c r="H296" s="32">
        <v>859.0</v>
      </c>
      <c r="I296" s="34">
        <v>189.0</v>
      </c>
      <c r="J296" s="36">
        <v>0.0217</v>
      </c>
      <c r="K296" s="36">
        <v>0.7846</v>
      </c>
      <c r="L296" s="37">
        <v>0.1937</v>
      </c>
      <c r="M296" s="37">
        <v>0.22</v>
      </c>
      <c r="N296" s="26" t="s">
        <v>34</v>
      </c>
      <c r="O296" s="109">
        <v>1.28</v>
      </c>
      <c r="P296" s="32">
        <v>1.03</v>
      </c>
      <c r="Q296" s="37">
        <v>0.8063</v>
      </c>
      <c r="R296" s="107">
        <v>0.0269</v>
      </c>
      <c r="S296" s="42"/>
      <c r="T296" s="55"/>
      <c r="U296" s="44"/>
      <c r="V296" s="44"/>
      <c r="W296" s="15"/>
      <c r="X296" s="15"/>
    </row>
    <row r="297">
      <c r="A297" s="27" t="s">
        <v>271</v>
      </c>
      <c r="B297" s="31" t="s">
        <v>736</v>
      </c>
      <c r="C297" s="31" t="s">
        <v>55</v>
      </c>
      <c r="D297" s="32">
        <v>40.0</v>
      </c>
      <c r="E297" s="34">
        <v>4.0</v>
      </c>
      <c r="F297" s="32">
        <v>17.0</v>
      </c>
      <c r="G297" s="32">
        <v>19.0</v>
      </c>
      <c r="H297" s="32">
        <v>25.0</v>
      </c>
      <c r="I297" s="34">
        <v>4.0</v>
      </c>
      <c r="J297" s="36">
        <v>0.1</v>
      </c>
      <c r="K297" s="36">
        <v>0.425</v>
      </c>
      <c r="L297" s="37">
        <v>0.475</v>
      </c>
      <c r="M297" s="110">
        <v>0.16</v>
      </c>
      <c r="N297" s="108">
        <v>0.16</v>
      </c>
      <c r="O297" s="34">
        <v>1.19</v>
      </c>
      <c r="P297" s="32">
        <v>0.63</v>
      </c>
      <c r="Q297" s="37">
        <v>0.525</v>
      </c>
      <c r="R297" s="107">
        <v>0.1905</v>
      </c>
      <c r="S297" s="42"/>
      <c r="T297" s="55"/>
      <c r="U297" s="44"/>
      <c r="V297" s="44"/>
      <c r="W297" s="15"/>
      <c r="X297" s="15"/>
    </row>
    <row r="298">
      <c r="A298" s="27" t="s">
        <v>513</v>
      </c>
      <c r="B298" s="31" t="s">
        <v>737</v>
      </c>
      <c r="C298" s="31" t="s">
        <v>42</v>
      </c>
      <c r="D298" s="32">
        <v>91.0</v>
      </c>
      <c r="E298" s="34">
        <v>10.0</v>
      </c>
      <c r="F298" s="32">
        <v>20.0</v>
      </c>
      <c r="G298" s="32">
        <v>61.0</v>
      </c>
      <c r="H298" s="32">
        <v>70.0</v>
      </c>
      <c r="I298" s="34">
        <v>40.0</v>
      </c>
      <c r="J298" s="36">
        <v>0.1099</v>
      </c>
      <c r="K298" s="36">
        <v>0.2198</v>
      </c>
      <c r="L298" s="37">
        <v>0.6703</v>
      </c>
      <c r="M298" s="110">
        <v>0.5714</v>
      </c>
      <c r="N298" s="108">
        <v>0.5714</v>
      </c>
      <c r="O298" s="34">
        <v>2.33</v>
      </c>
      <c r="P298" s="32">
        <v>0.77</v>
      </c>
      <c r="Q298" s="37">
        <v>0.3297</v>
      </c>
      <c r="R298" s="107">
        <v>0.3333</v>
      </c>
      <c r="S298" s="42"/>
      <c r="T298" s="55"/>
      <c r="U298" s="44"/>
      <c r="V298" s="44"/>
      <c r="W298" s="15"/>
      <c r="X298" s="15"/>
    </row>
    <row r="299">
      <c r="A299" s="27" t="s">
        <v>191</v>
      </c>
      <c r="B299" s="31" t="s">
        <v>738</v>
      </c>
      <c r="C299" s="31" t="s">
        <v>46</v>
      </c>
      <c r="D299" s="32">
        <v>12.0</v>
      </c>
      <c r="E299" s="34">
        <v>1.0</v>
      </c>
      <c r="F299" s="32">
        <v>10.0</v>
      </c>
      <c r="G299" s="32">
        <v>1.0</v>
      </c>
      <c r="H299" s="32">
        <v>13.0</v>
      </c>
      <c r="I299" s="34">
        <v>2.0</v>
      </c>
      <c r="J299" s="36">
        <v>0.0833</v>
      </c>
      <c r="K299" s="36">
        <v>0.8333</v>
      </c>
      <c r="L299" s="37">
        <v>0.0833</v>
      </c>
      <c r="M299" s="110">
        <v>0.1538</v>
      </c>
      <c r="N299" s="108">
        <v>0.1538</v>
      </c>
      <c r="O299" s="34">
        <v>1.18</v>
      </c>
      <c r="P299" s="32">
        <v>1.08</v>
      </c>
      <c r="Q299" s="37">
        <v>0.9167</v>
      </c>
      <c r="R299" s="107">
        <v>0.0909</v>
      </c>
      <c r="S299" s="42"/>
      <c r="T299" s="55"/>
      <c r="U299" s="44"/>
      <c r="V299" s="44"/>
      <c r="W299" s="15"/>
      <c r="X299" s="15"/>
    </row>
    <row r="300">
      <c r="A300" s="27" t="s">
        <v>188</v>
      </c>
      <c r="B300" s="31" t="s">
        <v>739</v>
      </c>
      <c r="C300" s="31" t="s">
        <v>46</v>
      </c>
      <c r="D300" s="32">
        <v>52.0</v>
      </c>
      <c r="E300" s="34">
        <v>4.0</v>
      </c>
      <c r="F300" s="32">
        <v>34.0</v>
      </c>
      <c r="G300" s="32">
        <v>14.0</v>
      </c>
      <c r="H300" s="32">
        <v>79.0</v>
      </c>
      <c r="I300" s="34">
        <v>41.0</v>
      </c>
      <c r="J300" s="36">
        <v>0.0769</v>
      </c>
      <c r="K300" s="36">
        <v>0.6538</v>
      </c>
      <c r="L300" s="37">
        <v>0.2692</v>
      </c>
      <c r="M300" s="110">
        <v>0.519</v>
      </c>
      <c r="N300" s="108">
        <v>0.519</v>
      </c>
      <c r="O300" s="34">
        <v>2.08</v>
      </c>
      <c r="P300" s="32">
        <v>1.52</v>
      </c>
      <c r="Q300" s="37">
        <v>0.7308</v>
      </c>
      <c r="R300" s="107">
        <v>0.1053</v>
      </c>
      <c r="S300" s="42"/>
      <c r="T300" s="55"/>
      <c r="U300" s="44"/>
      <c r="V300" s="44"/>
      <c r="W300" s="15"/>
      <c r="X300" s="15"/>
    </row>
    <row r="301">
      <c r="A301" s="27" t="s">
        <v>609</v>
      </c>
      <c r="B301" s="31" t="s">
        <v>740</v>
      </c>
      <c r="C301" s="31" t="s">
        <v>98</v>
      </c>
      <c r="D301" s="32">
        <v>73.0</v>
      </c>
      <c r="E301" s="34">
        <v>40.0</v>
      </c>
      <c r="F301" s="32">
        <v>24.0</v>
      </c>
      <c r="G301" s="32">
        <v>9.0</v>
      </c>
      <c r="H301" s="32">
        <v>213.0</v>
      </c>
      <c r="I301" s="34">
        <v>149.0</v>
      </c>
      <c r="J301" s="36">
        <v>0.5479</v>
      </c>
      <c r="K301" s="36">
        <v>0.3288</v>
      </c>
      <c r="L301" s="37">
        <v>0.1233</v>
      </c>
      <c r="M301" s="110">
        <v>0.6995</v>
      </c>
      <c r="N301" s="108">
        <v>0.6995</v>
      </c>
      <c r="O301" s="34">
        <v>3.33</v>
      </c>
      <c r="P301" s="32">
        <v>2.92</v>
      </c>
      <c r="Q301" s="37">
        <v>0.8767</v>
      </c>
      <c r="R301" s="107">
        <v>0.625</v>
      </c>
      <c r="S301" s="42"/>
      <c r="T301" s="55"/>
      <c r="U301" s="44"/>
      <c r="V301" s="44"/>
      <c r="W301" s="15"/>
      <c r="X301" s="15"/>
    </row>
    <row r="302">
      <c r="A302" s="27" t="s">
        <v>235</v>
      </c>
      <c r="B302" s="31" t="s">
        <v>741</v>
      </c>
      <c r="C302" s="31" t="s">
        <v>46</v>
      </c>
      <c r="D302" s="32">
        <v>16.0</v>
      </c>
      <c r="E302" s="34">
        <v>2.0</v>
      </c>
      <c r="F302" s="32">
        <v>3.0</v>
      </c>
      <c r="G302" s="32">
        <v>11.0</v>
      </c>
      <c r="H302" s="32">
        <v>10.0</v>
      </c>
      <c r="I302" s="34">
        <v>5.0</v>
      </c>
      <c r="J302" s="36">
        <v>0.125</v>
      </c>
      <c r="K302" s="36">
        <v>0.1875</v>
      </c>
      <c r="L302" s="37">
        <v>0.6875</v>
      </c>
      <c r="M302" s="110">
        <v>0.5</v>
      </c>
      <c r="N302" s="108">
        <v>0.5</v>
      </c>
      <c r="O302" s="34">
        <v>2.0</v>
      </c>
      <c r="P302" s="32">
        <v>0.63</v>
      </c>
      <c r="Q302" s="37">
        <v>0.3125</v>
      </c>
      <c r="R302" s="107">
        <v>0.4</v>
      </c>
      <c r="S302" s="42"/>
      <c r="T302" s="55"/>
      <c r="U302" s="44"/>
      <c r="V302" s="44"/>
      <c r="W302" s="15"/>
      <c r="X302" s="15"/>
    </row>
    <row r="303">
      <c r="A303" s="27" t="s">
        <v>448</v>
      </c>
      <c r="B303" s="31" t="s">
        <v>742</v>
      </c>
      <c r="C303" s="31" t="s">
        <v>42</v>
      </c>
      <c r="D303" s="32">
        <v>82.0</v>
      </c>
      <c r="E303" s="34">
        <v>40.0</v>
      </c>
      <c r="F303" s="32">
        <v>33.0</v>
      </c>
      <c r="G303" s="32">
        <v>9.0</v>
      </c>
      <c r="H303" s="32">
        <v>178.0</v>
      </c>
      <c r="I303" s="34">
        <v>105.0</v>
      </c>
      <c r="J303" s="36">
        <v>0.4878</v>
      </c>
      <c r="K303" s="36">
        <v>0.4024</v>
      </c>
      <c r="L303" s="37">
        <v>0.1098</v>
      </c>
      <c r="M303" s="110">
        <v>0.5899</v>
      </c>
      <c r="N303" s="108">
        <v>0.5899</v>
      </c>
      <c r="O303" s="34">
        <v>2.44</v>
      </c>
      <c r="P303" s="32">
        <v>2.17</v>
      </c>
      <c r="Q303" s="37">
        <v>0.8902</v>
      </c>
      <c r="R303" s="107">
        <v>0.5479</v>
      </c>
      <c r="S303" s="42"/>
      <c r="T303" s="55"/>
      <c r="U303" s="44"/>
      <c r="V303" s="44"/>
      <c r="W303" s="15"/>
      <c r="X303" s="15"/>
    </row>
    <row r="304">
      <c r="A304" s="27" t="s">
        <v>319</v>
      </c>
      <c r="B304" s="31" t="s">
        <v>743</v>
      </c>
      <c r="C304" s="31" t="s">
        <v>42</v>
      </c>
      <c r="D304" s="32">
        <v>0.0</v>
      </c>
      <c r="E304" s="34">
        <v>0.0</v>
      </c>
      <c r="F304" s="32">
        <v>0.0</v>
      </c>
      <c r="G304" s="32">
        <v>0.0</v>
      </c>
      <c r="H304" s="32">
        <v>0.0</v>
      </c>
      <c r="I304" s="34">
        <v>0.0</v>
      </c>
      <c r="J304" s="36">
        <v>0.0</v>
      </c>
      <c r="K304" s="36">
        <v>0.0</v>
      </c>
      <c r="L304" s="37">
        <v>0.0</v>
      </c>
      <c r="M304" s="110">
        <v>0.0</v>
      </c>
      <c r="N304" s="108">
        <v>0.0</v>
      </c>
      <c r="O304" s="34">
        <v>0.0</v>
      </c>
      <c r="P304" s="32">
        <v>0.0</v>
      </c>
      <c r="Q304" s="37">
        <v>0.0</v>
      </c>
      <c r="R304" s="107">
        <v>0.0</v>
      </c>
      <c r="S304" s="42"/>
      <c r="T304" s="55"/>
      <c r="U304" s="44"/>
      <c r="V304" s="44"/>
      <c r="W304" s="15"/>
      <c r="X304" s="15"/>
    </row>
    <row r="305">
      <c r="A305" s="27" t="s">
        <v>174</v>
      </c>
      <c r="B305" s="31" t="s">
        <v>744</v>
      </c>
      <c r="C305" s="31" t="s">
        <v>98</v>
      </c>
      <c r="D305" s="32">
        <v>97.0</v>
      </c>
      <c r="E305" s="34">
        <v>19.0</v>
      </c>
      <c r="F305" s="32">
        <v>23.0</v>
      </c>
      <c r="G305" s="32">
        <v>55.0</v>
      </c>
      <c r="H305" s="32">
        <v>145.0</v>
      </c>
      <c r="I305" s="34">
        <v>103.0</v>
      </c>
      <c r="J305" s="36">
        <v>0.1959</v>
      </c>
      <c r="K305" s="36">
        <v>0.2371</v>
      </c>
      <c r="L305" s="37">
        <v>0.567</v>
      </c>
      <c r="M305" s="110">
        <v>0.7103</v>
      </c>
      <c r="N305" s="108">
        <v>0.7103</v>
      </c>
      <c r="O305" s="34">
        <v>3.45</v>
      </c>
      <c r="P305" s="32">
        <v>1.49</v>
      </c>
      <c r="Q305" s="37">
        <v>0.433</v>
      </c>
      <c r="R305" s="107">
        <v>0.4524</v>
      </c>
      <c r="S305" s="42"/>
      <c r="T305" s="55"/>
      <c r="U305" s="44"/>
      <c r="V305" s="44"/>
      <c r="W305" s="15"/>
      <c r="X305" s="15"/>
    </row>
    <row r="306">
      <c r="A306" s="27" t="s">
        <v>292</v>
      </c>
      <c r="B306" s="31" t="s">
        <v>745</v>
      </c>
      <c r="C306" s="31" t="s">
        <v>46</v>
      </c>
      <c r="D306" s="32">
        <v>76.0</v>
      </c>
      <c r="E306" s="34">
        <v>27.0</v>
      </c>
      <c r="F306" s="32">
        <v>19.0</v>
      </c>
      <c r="G306" s="32">
        <v>30.0</v>
      </c>
      <c r="H306" s="32">
        <v>143.0</v>
      </c>
      <c r="I306" s="34">
        <v>97.0</v>
      </c>
      <c r="J306" s="36">
        <v>0.3553</v>
      </c>
      <c r="K306" s="36">
        <v>0.25</v>
      </c>
      <c r="L306" s="37">
        <v>0.3947</v>
      </c>
      <c r="M306" s="110">
        <v>0.6783</v>
      </c>
      <c r="N306" s="108">
        <v>0.6783</v>
      </c>
      <c r="O306" s="34">
        <v>3.11</v>
      </c>
      <c r="P306" s="32">
        <v>1.88</v>
      </c>
      <c r="Q306" s="37">
        <v>0.6053</v>
      </c>
      <c r="R306" s="107">
        <v>0.587</v>
      </c>
      <c r="S306" s="42"/>
      <c r="T306" s="55"/>
      <c r="U306" s="44"/>
      <c r="V306" s="44"/>
      <c r="W306" s="15"/>
      <c r="X306" s="15"/>
    </row>
    <row r="307">
      <c r="A307" s="27" t="s">
        <v>175</v>
      </c>
      <c r="B307" s="31" t="s">
        <v>746</v>
      </c>
      <c r="C307" s="31" t="s">
        <v>31</v>
      </c>
      <c r="D307" s="32">
        <v>39.0</v>
      </c>
      <c r="E307" s="34">
        <v>3.0</v>
      </c>
      <c r="F307" s="32">
        <v>15.0</v>
      </c>
      <c r="G307" s="32">
        <v>21.0</v>
      </c>
      <c r="H307" s="32">
        <v>24.0</v>
      </c>
      <c r="I307" s="34">
        <v>6.0</v>
      </c>
      <c r="J307" s="36">
        <v>0.0769</v>
      </c>
      <c r="K307" s="36">
        <v>0.3846</v>
      </c>
      <c r="L307" s="37">
        <v>0.5385</v>
      </c>
      <c r="M307" s="110">
        <v>0.25</v>
      </c>
      <c r="N307" s="108">
        <v>0.25</v>
      </c>
      <c r="O307" s="34">
        <v>1.33</v>
      </c>
      <c r="P307" s="32">
        <v>0.62</v>
      </c>
      <c r="Q307" s="37">
        <v>0.4615</v>
      </c>
      <c r="R307" s="107">
        <v>0.1667</v>
      </c>
      <c r="S307" s="42"/>
      <c r="T307" s="55"/>
      <c r="U307" s="44"/>
      <c r="V307" s="44"/>
      <c r="W307" s="15"/>
      <c r="X307" s="15"/>
    </row>
    <row r="308">
      <c r="A308" s="27" t="s">
        <v>205</v>
      </c>
      <c r="B308" s="31" t="s">
        <v>747</v>
      </c>
      <c r="C308" s="31" t="s">
        <v>42</v>
      </c>
      <c r="D308" s="32">
        <v>13.0</v>
      </c>
      <c r="E308" s="34">
        <v>8.0</v>
      </c>
      <c r="F308" s="32">
        <v>1.0</v>
      </c>
      <c r="G308" s="32">
        <v>4.0</v>
      </c>
      <c r="H308" s="32">
        <v>22.0</v>
      </c>
      <c r="I308" s="34">
        <v>13.0</v>
      </c>
      <c r="J308" s="36">
        <v>0.6154</v>
      </c>
      <c r="K308" s="36">
        <v>0.0769</v>
      </c>
      <c r="L308" s="37">
        <v>0.3077</v>
      </c>
      <c r="M308" s="110">
        <v>0.5909</v>
      </c>
      <c r="N308" s="108">
        <v>0.5909</v>
      </c>
      <c r="O308" s="34">
        <v>2.44</v>
      </c>
      <c r="P308" s="32">
        <v>1.69</v>
      </c>
      <c r="Q308" s="37">
        <v>0.6923</v>
      </c>
      <c r="R308" s="107">
        <v>0.8889</v>
      </c>
      <c r="S308" s="42"/>
      <c r="T308" s="55"/>
      <c r="U308" s="44"/>
      <c r="V308" s="44"/>
      <c r="W308" s="15"/>
      <c r="X308" s="15"/>
    </row>
    <row r="309">
      <c r="A309" s="27" t="s">
        <v>371</v>
      </c>
      <c r="B309" s="31" t="s">
        <v>748</v>
      </c>
      <c r="C309" s="31" t="s">
        <v>98</v>
      </c>
      <c r="D309" s="32">
        <v>11.0</v>
      </c>
      <c r="E309" s="34">
        <v>1.0</v>
      </c>
      <c r="F309" s="32">
        <v>3.0</v>
      </c>
      <c r="G309" s="32">
        <v>7.0</v>
      </c>
      <c r="H309" s="32">
        <v>5.0</v>
      </c>
      <c r="I309" s="34">
        <v>1.0</v>
      </c>
      <c r="J309" s="36">
        <v>0.0909</v>
      </c>
      <c r="K309" s="36">
        <v>0.2727</v>
      </c>
      <c r="L309" s="37">
        <v>0.6364</v>
      </c>
      <c r="M309" s="110">
        <v>0.2</v>
      </c>
      <c r="N309" s="108">
        <v>0.2</v>
      </c>
      <c r="O309" s="34">
        <v>1.25</v>
      </c>
      <c r="P309" s="32">
        <v>0.45</v>
      </c>
      <c r="Q309" s="37">
        <v>0.3636</v>
      </c>
      <c r="R309" s="107">
        <v>0.25</v>
      </c>
      <c r="S309" s="42"/>
      <c r="T309" s="43"/>
      <c r="U309" s="44"/>
      <c r="V309" s="44"/>
      <c r="W309" s="15"/>
      <c r="X309" s="15"/>
    </row>
    <row r="310">
      <c r="A310" s="27" t="s">
        <v>418</v>
      </c>
      <c r="B310" s="31" t="s">
        <v>749</v>
      </c>
      <c r="C310" s="31" t="s">
        <v>31</v>
      </c>
      <c r="D310" s="32">
        <v>13.0</v>
      </c>
      <c r="E310" s="34">
        <v>2.0</v>
      </c>
      <c r="F310" s="32">
        <v>1.0</v>
      </c>
      <c r="G310" s="32">
        <v>10.0</v>
      </c>
      <c r="H310" s="32">
        <v>13.0</v>
      </c>
      <c r="I310" s="34">
        <v>10.0</v>
      </c>
      <c r="J310" s="36">
        <v>0.1538</v>
      </c>
      <c r="K310" s="36">
        <v>0.0769</v>
      </c>
      <c r="L310" s="37">
        <v>0.7692</v>
      </c>
      <c r="M310" s="110">
        <v>0.7692</v>
      </c>
      <c r="N310" s="108">
        <v>0.7692</v>
      </c>
      <c r="O310" s="34">
        <v>4.33</v>
      </c>
      <c r="P310" s="32">
        <v>1.0</v>
      </c>
      <c r="Q310" s="37">
        <v>0.2308</v>
      </c>
      <c r="R310" s="107">
        <v>0.6667</v>
      </c>
      <c r="S310" s="42"/>
      <c r="T310" s="55"/>
      <c r="U310" s="44"/>
      <c r="V310" s="44"/>
      <c r="W310" s="15"/>
      <c r="X310" s="15"/>
    </row>
    <row r="311">
      <c r="A311" s="27" t="s">
        <v>333</v>
      </c>
      <c r="B311" s="31" t="s">
        <v>750</v>
      </c>
      <c r="C311" s="31" t="s">
        <v>26</v>
      </c>
      <c r="D311" s="32">
        <v>24.0</v>
      </c>
      <c r="E311" s="34">
        <v>11.0</v>
      </c>
      <c r="F311" s="32">
        <v>10.0</v>
      </c>
      <c r="G311" s="32">
        <v>3.0</v>
      </c>
      <c r="H311" s="32">
        <v>43.0</v>
      </c>
      <c r="I311" s="34">
        <v>22.0</v>
      </c>
      <c r="J311" s="36">
        <v>0.4583</v>
      </c>
      <c r="K311" s="36">
        <v>0.4167</v>
      </c>
      <c r="L311" s="37">
        <v>0.125</v>
      </c>
      <c r="M311" s="110">
        <v>0.4776</v>
      </c>
      <c r="N311" s="108">
        <v>0.5116</v>
      </c>
      <c r="O311" s="34">
        <v>2.05</v>
      </c>
      <c r="P311" s="32">
        <v>1.79</v>
      </c>
      <c r="Q311" s="37">
        <v>0.875</v>
      </c>
      <c r="R311" s="107">
        <v>0.5238</v>
      </c>
      <c r="S311" s="42"/>
      <c r="T311" s="55"/>
      <c r="U311" s="44"/>
      <c r="V311" s="44"/>
      <c r="W311" s="15"/>
      <c r="X311" s="15"/>
    </row>
    <row r="312">
      <c r="A312" s="27" t="s">
        <v>180</v>
      </c>
      <c r="B312" s="31" t="s">
        <v>751</v>
      </c>
      <c r="C312" s="31" t="s">
        <v>33</v>
      </c>
      <c r="D312" s="32">
        <v>311.0</v>
      </c>
      <c r="E312" s="34">
        <v>41.0</v>
      </c>
      <c r="F312" s="32">
        <v>164.0</v>
      </c>
      <c r="G312" s="32">
        <v>106.0</v>
      </c>
      <c r="H312" s="32">
        <v>307.0</v>
      </c>
      <c r="I312" s="34">
        <v>102.0</v>
      </c>
      <c r="J312" s="36">
        <v>0.1318</v>
      </c>
      <c r="K312" s="36">
        <v>0.5273</v>
      </c>
      <c r="L312" s="37">
        <v>0.3408</v>
      </c>
      <c r="M312" s="110">
        <v>0.3322</v>
      </c>
      <c r="N312" s="108">
        <v>0.3322</v>
      </c>
      <c r="O312" s="34">
        <v>1.5</v>
      </c>
      <c r="P312" s="32">
        <v>0.99</v>
      </c>
      <c r="Q312" s="37">
        <v>0.6592</v>
      </c>
      <c r="R312" s="107">
        <v>0.2</v>
      </c>
      <c r="S312" s="42"/>
      <c r="T312" s="43"/>
      <c r="U312" s="44"/>
      <c r="V312" s="44"/>
      <c r="W312" s="15"/>
      <c r="X312" s="15"/>
    </row>
    <row r="313">
      <c r="A313" s="27" t="s">
        <v>400</v>
      </c>
      <c r="B313" s="31" t="s">
        <v>752</v>
      </c>
      <c r="C313" s="31" t="s">
        <v>46</v>
      </c>
      <c r="D313" s="32">
        <v>138.0</v>
      </c>
      <c r="E313" s="34">
        <v>17.0</v>
      </c>
      <c r="F313" s="32">
        <v>41.0</v>
      </c>
      <c r="G313" s="32">
        <v>80.0</v>
      </c>
      <c r="H313" s="32">
        <v>100.0</v>
      </c>
      <c r="I313" s="34">
        <v>42.0</v>
      </c>
      <c r="J313" s="36">
        <v>0.1232</v>
      </c>
      <c r="K313" s="36">
        <v>0.2971</v>
      </c>
      <c r="L313" s="37">
        <v>0.5797</v>
      </c>
      <c r="M313" s="110">
        <v>0.3741</v>
      </c>
      <c r="N313" s="108">
        <v>0.42</v>
      </c>
      <c r="O313" s="34">
        <v>1.72</v>
      </c>
      <c r="P313" s="32">
        <v>0.72</v>
      </c>
      <c r="Q313" s="37">
        <v>0.4203</v>
      </c>
      <c r="R313" s="107">
        <v>0.2931</v>
      </c>
      <c r="S313" s="42"/>
      <c r="T313" s="55"/>
      <c r="U313" s="44"/>
      <c r="V313" s="44"/>
      <c r="W313" s="15"/>
      <c r="X313" s="15"/>
    </row>
    <row r="314">
      <c r="A314" s="27" t="s">
        <v>306</v>
      </c>
      <c r="B314" s="31" t="s">
        <v>753</v>
      </c>
      <c r="C314" s="31" t="s">
        <v>42</v>
      </c>
      <c r="D314" s="32">
        <v>55.0</v>
      </c>
      <c r="E314" s="34">
        <v>11.0</v>
      </c>
      <c r="F314" s="32">
        <v>17.0</v>
      </c>
      <c r="G314" s="32">
        <v>27.0</v>
      </c>
      <c r="H314" s="32">
        <v>51.0</v>
      </c>
      <c r="I314" s="34">
        <v>23.0</v>
      </c>
      <c r="J314" s="36">
        <v>0.2</v>
      </c>
      <c r="K314" s="36">
        <v>0.3091</v>
      </c>
      <c r="L314" s="37">
        <v>0.4909</v>
      </c>
      <c r="M314" s="110">
        <v>0.451</v>
      </c>
      <c r="N314" s="108">
        <v>0.451</v>
      </c>
      <c r="O314" s="34">
        <v>1.82</v>
      </c>
      <c r="P314" s="32">
        <v>0.93</v>
      </c>
      <c r="Q314" s="37">
        <v>0.5091</v>
      </c>
      <c r="R314" s="107">
        <v>0.3929</v>
      </c>
      <c r="S314" s="42"/>
      <c r="T314" s="55"/>
      <c r="U314" s="44"/>
      <c r="V314" s="44"/>
      <c r="W314" s="15"/>
      <c r="X314" s="15"/>
    </row>
    <row r="315">
      <c r="A315" s="27" t="s">
        <v>396</v>
      </c>
      <c r="B315" s="31" t="s">
        <v>754</v>
      </c>
      <c r="C315" s="31" t="s">
        <v>46</v>
      </c>
      <c r="D315" s="32">
        <v>636.0</v>
      </c>
      <c r="E315" s="34">
        <v>114.0</v>
      </c>
      <c r="F315" s="32">
        <v>59.0</v>
      </c>
      <c r="G315" s="32">
        <v>463.0</v>
      </c>
      <c r="H315" s="32">
        <v>640.0</v>
      </c>
      <c r="I315" s="34">
        <v>467.0</v>
      </c>
      <c r="J315" s="36">
        <v>0.1792</v>
      </c>
      <c r="K315" s="36">
        <v>0.0928</v>
      </c>
      <c r="L315" s="37">
        <v>0.728</v>
      </c>
      <c r="M315" s="110">
        <v>0.7297</v>
      </c>
      <c r="N315" s="108">
        <v>0.7297</v>
      </c>
      <c r="O315" s="34">
        <v>3.7</v>
      </c>
      <c r="P315" s="32">
        <v>1.01</v>
      </c>
      <c r="Q315" s="37">
        <v>0.272</v>
      </c>
      <c r="R315" s="107">
        <v>0.659</v>
      </c>
      <c r="S315" s="42"/>
      <c r="T315" s="55"/>
      <c r="U315" s="44"/>
      <c r="V315" s="44"/>
      <c r="W315" s="15"/>
      <c r="X315" s="15"/>
    </row>
    <row r="316">
      <c r="A316" s="27" t="s">
        <v>421</v>
      </c>
      <c r="B316" s="31" t="s">
        <v>755</v>
      </c>
      <c r="C316" s="31" t="s">
        <v>42</v>
      </c>
      <c r="D316" s="32">
        <v>488.0</v>
      </c>
      <c r="E316" s="34">
        <v>163.0</v>
      </c>
      <c r="F316" s="32">
        <v>217.0</v>
      </c>
      <c r="G316" s="32">
        <v>108.0</v>
      </c>
      <c r="H316" s="32">
        <v>835.0</v>
      </c>
      <c r="I316" s="34">
        <v>455.0</v>
      </c>
      <c r="J316" s="36">
        <v>0.334</v>
      </c>
      <c r="K316" s="36">
        <v>0.4447</v>
      </c>
      <c r="L316" s="37">
        <v>0.2213</v>
      </c>
      <c r="M316" s="110">
        <v>0.5417</v>
      </c>
      <c r="N316" s="108">
        <v>0.5449</v>
      </c>
      <c r="O316" s="34">
        <v>2.2</v>
      </c>
      <c r="P316" s="32">
        <v>1.71</v>
      </c>
      <c r="Q316" s="37">
        <v>0.7787</v>
      </c>
      <c r="R316" s="107">
        <v>0.4289</v>
      </c>
      <c r="S316" s="42"/>
      <c r="T316" s="55"/>
      <c r="U316" s="44"/>
      <c r="V316" s="44"/>
      <c r="W316" s="15"/>
      <c r="X316" s="15"/>
    </row>
    <row r="317">
      <c r="A317" s="27" t="s">
        <v>251</v>
      </c>
      <c r="B317" s="31" t="s">
        <v>756</v>
      </c>
      <c r="C317" s="31" t="s">
        <v>33</v>
      </c>
      <c r="D317" s="32">
        <v>63.0</v>
      </c>
      <c r="E317" s="34">
        <v>12.0</v>
      </c>
      <c r="F317" s="32">
        <v>23.0</v>
      </c>
      <c r="G317" s="32">
        <v>28.0</v>
      </c>
      <c r="H317" s="32">
        <v>67.0</v>
      </c>
      <c r="I317" s="34">
        <v>32.0</v>
      </c>
      <c r="J317" s="36">
        <v>0.1905</v>
      </c>
      <c r="K317" s="36">
        <v>0.3651</v>
      </c>
      <c r="L317" s="37">
        <v>0.4444</v>
      </c>
      <c r="M317" s="110">
        <v>0.4776</v>
      </c>
      <c r="N317" s="108">
        <v>0.4776</v>
      </c>
      <c r="O317" s="34">
        <v>1.91</v>
      </c>
      <c r="P317" s="32">
        <v>1.06</v>
      </c>
      <c r="Q317" s="37">
        <v>0.5556</v>
      </c>
      <c r="R317" s="107">
        <v>0.3429</v>
      </c>
      <c r="S317" s="42"/>
      <c r="T317" s="55"/>
      <c r="U317" s="44"/>
      <c r="V317" s="44"/>
      <c r="W317" s="15"/>
      <c r="X317" s="15"/>
    </row>
    <row r="318">
      <c r="A318" s="27" t="s">
        <v>165</v>
      </c>
      <c r="B318" s="31" t="s">
        <v>757</v>
      </c>
      <c r="C318" s="31" t="s">
        <v>98</v>
      </c>
      <c r="D318" s="32">
        <v>67.0</v>
      </c>
      <c r="E318" s="34">
        <v>16.0</v>
      </c>
      <c r="F318" s="32">
        <v>36.0</v>
      </c>
      <c r="G318" s="32">
        <v>15.0</v>
      </c>
      <c r="H318" s="32">
        <v>105.0</v>
      </c>
      <c r="I318" s="34">
        <v>53.0</v>
      </c>
      <c r="J318" s="36">
        <v>0.2388</v>
      </c>
      <c r="K318" s="36">
        <v>0.5373</v>
      </c>
      <c r="L318" s="37">
        <v>0.2239</v>
      </c>
      <c r="M318" s="110">
        <v>0.5048</v>
      </c>
      <c r="N318" s="108">
        <v>0.5048</v>
      </c>
      <c r="O318" s="34">
        <v>2.02</v>
      </c>
      <c r="P318" s="32">
        <v>1.57</v>
      </c>
      <c r="Q318" s="37">
        <v>0.7761</v>
      </c>
      <c r="R318" s="107">
        <v>0.3077</v>
      </c>
      <c r="S318" s="42"/>
      <c r="T318" s="55"/>
      <c r="U318" s="44"/>
      <c r="V318" s="44"/>
      <c r="W318" s="15"/>
      <c r="X318" s="15"/>
    </row>
    <row r="319">
      <c r="A319" s="27" t="s">
        <v>202</v>
      </c>
      <c r="B319" s="31" t="s">
        <v>758</v>
      </c>
      <c r="C319" s="31" t="s">
        <v>33</v>
      </c>
      <c r="D319" s="32">
        <v>55.0</v>
      </c>
      <c r="E319" s="34">
        <v>11.0</v>
      </c>
      <c r="F319" s="32">
        <v>17.0</v>
      </c>
      <c r="G319" s="32">
        <v>27.0</v>
      </c>
      <c r="H319" s="32">
        <v>51.0</v>
      </c>
      <c r="I319" s="34">
        <v>23.0</v>
      </c>
      <c r="J319" s="36">
        <v>0.2</v>
      </c>
      <c r="K319" s="36">
        <v>0.3091</v>
      </c>
      <c r="L319" s="37">
        <v>0.4909</v>
      </c>
      <c r="M319" s="110">
        <v>0.451</v>
      </c>
      <c r="N319" s="108">
        <v>0.451</v>
      </c>
      <c r="O319" s="34">
        <v>1.82</v>
      </c>
      <c r="P319" s="32">
        <v>0.93</v>
      </c>
      <c r="Q319" s="37">
        <v>0.5091</v>
      </c>
      <c r="R319" s="107">
        <v>0.3929</v>
      </c>
      <c r="S319" s="42"/>
      <c r="T319" s="55"/>
      <c r="U319" s="44"/>
      <c r="V319" s="44"/>
      <c r="W319" s="15"/>
      <c r="X319" s="15"/>
    </row>
    <row r="320">
      <c r="A320" s="27" t="s">
        <v>494</v>
      </c>
      <c r="B320" s="31" t="s">
        <v>759</v>
      </c>
      <c r="C320" s="31" t="s">
        <v>26</v>
      </c>
      <c r="D320" s="32">
        <v>12.0</v>
      </c>
      <c r="E320" s="34">
        <v>2.0</v>
      </c>
      <c r="F320" s="32">
        <v>2.0</v>
      </c>
      <c r="G320" s="32">
        <v>8.0</v>
      </c>
      <c r="H320" s="32">
        <v>7.0</v>
      </c>
      <c r="I320" s="34">
        <v>3.0</v>
      </c>
      <c r="J320" s="36">
        <v>0.1667</v>
      </c>
      <c r="K320" s="36">
        <v>0.1667</v>
      </c>
      <c r="L320" s="37">
        <v>0.6667</v>
      </c>
      <c r="M320" s="110">
        <v>0.4286</v>
      </c>
      <c r="N320" s="108">
        <v>0.4286</v>
      </c>
      <c r="O320" s="34">
        <v>1.75</v>
      </c>
      <c r="P320" s="32">
        <v>0.58</v>
      </c>
      <c r="Q320" s="37">
        <v>0.3333</v>
      </c>
      <c r="R320" s="107">
        <v>0.5</v>
      </c>
      <c r="S320" s="42"/>
      <c r="T320" s="55"/>
      <c r="U320" s="44"/>
      <c r="V320" s="44"/>
      <c r="W320" s="15"/>
      <c r="X320" s="15"/>
    </row>
    <row r="321">
      <c r="A321" s="27" t="s">
        <v>331</v>
      </c>
      <c r="B321" s="31" t="s">
        <v>760</v>
      </c>
      <c r="C321" s="31" t="s">
        <v>42</v>
      </c>
      <c r="D321" s="32">
        <v>17.0</v>
      </c>
      <c r="E321" s="34">
        <v>8.0</v>
      </c>
      <c r="F321" s="32">
        <v>6.0</v>
      </c>
      <c r="G321" s="32">
        <v>3.0</v>
      </c>
      <c r="H321" s="32">
        <v>31.0</v>
      </c>
      <c r="I321" s="34">
        <v>17.0</v>
      </c>
      <c r="J321" s="36">
        <v>0.4706</v>
      </c>
      <c r="K321" s="36">
        <v>0.3529</v>
      </c>
      <c r="L321" s="37">
        <v>0.1765</v>
      </c>
      <c r="M321" s="110">
        <v>0.5484</v>
      </c>
      <c r="N321" s="108">
        <v>0.5484</v>
      </c>
      <c r="O321" s="34">
        <v>2.21</v>
      </c>
      <c r="P321" s="32">
        <v>1.82</v>
      </c>
      <c r="Q321" s="37">
        <v>0.8235</v>
      </c>
      <c r="R321" s="107">
        <v>0.5714</v>
      </c>
      <c r="S321" s="42"/>
      <c r="T321" s="55"/>
      <c r="U321" s="44"/>
      <c r="V321" s="44"/>
      <c r="W321" s="15"/>
      <c r="X321" s="15"/>
    </row>
    <row r="322">
      <c r="A322" s="27" t="s">
        <v>320</v>
      </c>
      <c r="B322" s="31" t="s">
        <v>761</v>
      </c>
      <c r="C322" s="31" t="s">
        <v>42</v>
      </c>
      <c r="D322" s="32">
        <v>35.0</v>
      </c>
      <c r="E322" s="34">
        <v>11.0</v>
      </c>
      <c r="F322" s="32">
        <v>20.0</v>
      </c>
      <c r="G322" s="32">
        <v>4.0</v>
      </c>
      <c r="H322" s="32">
        <v>64.0</v>
      </c>
      <c r="I322" s="34">
        <v>33.0</v>
      </c>
      <c r="J322" s="36">
        <v>0.3143</v>
      </c>
      <c r="K322" s="36">
        <v>0.5714</v>
      </c>
      <c r="L322" s="37">
        <v>0.1143</v>
      </c>
      <c r="M322" s="110">
        <v>0.5156</v>
      </c>
      <c r="N322" s="108">
        <v>0.5156</v>
      </c>
      <c r="O322" s="34">
        <v>2.06</v>
      </c>
      <c r="P322" s="32">
        <v>1.83</v>
      </c>
      <c r="Q322" s="37">
        <v>0.8857</v>
      </c>
      <c r="R322" s="107">
        <v>0.3548</v>
      </c>
      <c r="S322" s="42"/>
      <c r="T322" s="55"/>
      <c r="U322" s="44"/>
      <c r="V322" s="44"/>
      <c r="W322" s="15"/>
      <c r="X322" s="15"/>
    </row>
    <row r="323">
      <c r="A323" s="27" t="s">
        <v>338</v>
      </c>
      <c r="B323" s="31" t="s">
        <v>762</v>
      </c>
      <c r="C323" s="31" t="s">
        <v>46</v>
      </c>
      <c r="D323" s="32">
        <v>189.0</v>
      </c>
      <c r="E323" s="34">
        <v>83.0</v>
      </c>
      <c r="F323" s="32">
        <v>45.0</v>
      </c>
      <c r="G323" s="32">
        <v>61.0</v>
      </c>
      <c r="H323" s="32">
        <v>242.0</v>
      </c>
      <c r="I323" s="34">
        <v>114.0</v>
      </c>
      <c r="J323" s="36">
        <v>0.4392</v>
      </c>
      <c r="K323" s="36">
        <v>0.2381</v>
      </c>
      <c r="L323" s="37">
        <v>0.3228</v>
      </c>
      <c r="M323" s="110">
        <v>0.4711</v>
      </c>
      <c r="N323" s="108">
        <v>0.4711</v>
      </c>
      <c r="O323" s="34">
        <v>1.89</v>
      </c>
      <c r="P323" s="32">
        <v>1.28</v>
      </c>
      <c r="Q323" s="37">
        <v>0.6772</v>
      </c>
      <c r="R323" s="107">
        <v>0.6484</v>
      </c>
      <c r="S323" s="42"/>
      <c r="T323" s="55"/>
      <c r="U323" s="44"/>
      <c r="V323" s="44"/>
      <c r="W323" s="15"/>
      <c r="X323" s="15"/>
    </row>
    <row r="324">
      <c r="A324" s="27" t="s">
        <v>342</v>
      </c>
      <c r="B324" s="31" t="s">
        <v>763</v>
      </c>
      <c r="C324" s="31" t="s">
        <v>26</v>
      </c>
      <c r="D324" s="32">
        <v>29.0</v>
      </c>
      <c r="E324" s="34">
        <v>4.0</v>
      </c>
      <c r="F324" s="32">
        <v>17.0</v>
      </c>
      <c r="G324" s="32">
        <v>8.0</v>
      </c>
      <c r="H324" s="32">
        <v>27.0</v>
      </c>
      <c r="I324" s="34">
        <v>6.0</v>
      </c>
      <c r="J324" s="36">
        <v>0.1379</v>
      </c>
      <c r="K324" s="36">
        <v>0.5862</v>
      </c>
      <c r="L324" s="37">
        <v>0.2759</v>
      </c>
      <c r="M324" s="110">
        <v>0.2222</v>
      </c>
      <c r="N324" s="108">
        <v>0.2222</v>
      </c>
      <c r="O324" s="34">
        <v>1.29</v>
      </c>
      <c r="P324" s="32">
        <v>0.93</v>
      </c>
      <c r="Q324" s="37">
        <v>0.7241</v>
      </c>
      <c r="R324" s="107">
        <v>0.1905</v>
      </c>
      <c r="S324" s="42"/>
      <c r="T324" s="55"/>
      <c r="U324" s="44"/>
      <c r="V324" s="44"/>
      <c r="W324" s="15"/>
      <c r="X324" s="15"/>
    </row>
    <row r="325">
      <c r="A325" s="27" t="s">
        <v>504</v>
      </c>
      <c r="B325" s="31" t="s">
        <v>764</v>
      </c>
      <c r="C325" s="31" t="s">
        <v>98</v>
      </c>
      <c r="D325" s="32">
        <v>33.0</v>
      </c>
      <c r="E325" s="34">
        <v>5.0</v>
      </c>
      <c r="F325" s="32">
        <v>22.0</v>
      </c>
      <c r="G325" s="32">
        <v>6.0</v>
      </c>
      <c r="H325" s="32">
        <v>43.0</v>
      </c>
      <c r="I325" s="34">
        <v>16.0</v>
      </c>
      <c r="J325" s="36">
        <v>0.1515</v>
      </c>
      <c r="K325" s="36">
        <v>0.6667</v>
      </c>
      <c r="L325" s="37">
        <v>0.1818</v>
      </c>
      <c r="M325" s="110">
        <v>0.3721</v>
      </c>
      <c r="N325" s="108">
        <v>0.3721</v>
      </c>
      <c r="O325" s="34">
        <v>1.59</v>
      </c>
      <c r="P325" s="32">
        <v>1.3</v>
      </c>
      <c r="Q325" s="37">
        <v>0.8182</v>
      </c>
      <c r="R325" s="107">
        <v>0.1852</v>
      </c>
      <c r="S325" s="42"/>
      <c r="T325" s="55"/>
      <c r="U325" s="44"/>
      <c r="V325" s="44"/>
      <c r="W325" s="15"/>
      <c r="X325" s="15"/>
    </row>
    <row r="326">
      <c r="A326" s="27" t="s">
        <v>456</v>
      </c>
      <c r="B326" s="31" t="s">
        <v>765</v>
      </c>
      <c r="C326" s="31" t="s">
        <v>42</v>
      </c>
      <c r="D326" s="32">
        <v>6.0</v>
      </c>
      <c r="E326" s="34">
        <v>1.0</v>
      </c>
      <c r="F326" s="32">
        <v>4.0</v>
      </c>
      <c r="G326" s="32">
        <v>1.0</v>
      </c>
      <c r="H326" s="32">
        <v>7.0</v>
      </c>
      <c r="I326" s="34">
        <v>2.0</v>
      </c>
      <c r="J326" s="36">
        <v>0.1667</v>
      </c>
      <c r="K326" s="36">
        <v>0.6667</v>
      </c>
      <c r="L326" s="37">
        <v>0.1667</v>
      </c>
      <c r="M326" s="110">
        <v>0.2857</v>
      </c>
      <c r="N326" s="108">
        <v>0.2857</v>
      </c>
      <c r="O326" s="34">
        <v>1.4</v>
      </c>
      <c r="P326" s="32">
        <v>1.17</v>
      </c>
      <c r="Q326" s="37">
        <v>0.8333</v>
      </c>
      <c r="R326" s="107">
        <v>0.2</v>
      </c>
      <c r="S326" s="42"/>
      <c r="T326" s="55"/>
      <c r="U326" s="44"/>
      <c r="V326" s="44"/>
      <c r="W326" s="15"/>
      <c r="X326" s="15"/>
    </row>
    <row r="327">
      <c r="A327" s="27" t="s">
        <v>584</v>
      </c>
      <c r="B327" s="31" t="s">
        <v>766</v>
      </c>
      <c r="C327" s="31" t="s">
        <v>42</v>
      </c>
      <c r="D327" s="32">
        <v>276.0</v>
      </c>
      <c r="E327" s="34">
        <v>174.0</v>
      </c>
      <c r="F327" s="32">
        <v>91.0</v>
      </c>
      <c r="G327" s="32">
        <v>11.0</v>
      </c>
      <c r="H327" s="32">
        <v>657.0</v>
      </c>
      <c r="I327" s="34">
        <v>392.0</v>
      </c>
      <c r="J327" s="36">
        <v>0.6304</v>
      </c>
      <c r="K327" s="36">
        <v>0.3297</v>
      </c>
      <c r="L327" s="37">
        <v>0.0399</v>
      </c>
      <c r="M327" s="110">
        <v>0.5967</v>
      </c>
      <c r="N327" s="108">
        <v>0.5967</v>
      </c>
      <c r="O327" s="34">
        <v>2.48</v>
      </c>
      <c r="P327" s="32">
        <v>2.38</v>
      </c>
      <c r="Q327" s="37">
        <v>0.9601</v>
      </c>
      <c r="R327" s="107">
        <v>0.6566</v>
      </c>
      <c r="S327" s="42"/>
      <c r="T327" s="55"/>
      <c r="U327" s="44"/>
      <c r="V327" s="44"/>
      <c r="W327" s="15"/>
      <c r="X327" s="15"/>
    </row>
    <row r="328">
      <c r="A328" s="27" t="s">
        <v>376</v>
      </c>
      <c r="B328" s="31" t="s">
        <v>767</v>
      </c>
      <c r="C328" s="31" t="s">
        <v>33</v>
      </c>
      <c r="D328" s="32">
        <v>55.0</v>
      </c>
      <c r="E328" s="34">
        <v>14.0</v>
      </c>
      <c r="F328" s="32">
        <v>19.0</v>
      </c>
      <c r="G328" s="32">
        <v>22.0</v>
      </c>
      <c r="H328" s="32">
        <v>74.0</v>
      </c>
      <c r="I328" s="34">
        <v>41.0</v>
      </c>
      <c r="J328" s="36">
        <v>0.2545</v>
      </c>
      <c r="K328" s="36">
        <v>0.3455</v>
      </c>
      <c r="L328" s="37">
        <v>0.4</v>
      </c>
      <c r="M328" s="110">
        <v>0.5532</v>
      </c>
      <c r="N328" s="108">
        <v>0.5541</v>
      </c>
      <c r="O328" s="34">
        <v>2.24</v>
      </c>
      <c r="P328" s="32">
        <v>1.35</v>
      </c>
      <c r="Q328" s="37">
        <v>0.6</v>
      </c>
      <c r="R328" s="107">
        <v>0.4242</v>
      </c>
      <c r="S328" s="42"/>
      <c r="T328" s="55"/>
      <c r="U328" s="44"/>
      <c r="V328" s="44"/>
      <c r="W328" s="15"/>
      <c r="X328" s="15"/>
    </row>
    <row r="329">
      <c r="A329" s="27" t="s">
        <v>129</v>
      </c>
      <c r="B329" s="31" t="s">
        <v>768</v>
      </c>
      <c r="C329" s="31" t="s">
        <v>31</v>
      </c>
      <c r="D329" s="32">
        <v>14.0</v>
      </c>
      <c r="E329" s="34">
        <v>6.0</v>
      </c>
      <c r="F329" s="32">
        <v>6.0</v>
      </c>
      <c r="G329" s="32">
        <v>2.0</v>
      </c>
      <c r="H329" s="32">
        <v>39.0</v>
      </c>
      <c r="I329" s="34">
        <v>27.0</v>
      </c>
      <c r="J329" s="36">
        <v>0.4286</v>
      </c>
      <c r="K329" s="36">
        <v>0.4286</v>
      </c>
      <c r="L329" s="37">
        <v>0.1429</v>
      </c>
      <c r="M329" s="110">
        <v>0.6923</v>
      </c>
      <c r="N329" s="108">
        <v>0.6923</v>
      </c>
      <c r="O329" s="34">
        <v>3.25</v>
      </c>
      <c r="P329" s="32">
        <v>2.79</v>
      </c>
      <c r="Q329" s="37">
        <v>0.8571</v>
      </c>
      <c r="R329" s="107">
        <v>0.5</v>
      </c>
      <c r="S329" s="42"/>
      <c r="T329" s="55"/>
      <c r="U329" s="44"/>
      <c r="V329" s="44"/>
      <c r="W329" s="15"/>
      <c r="X329" s="15"/>
    </row>
    <row r="330">
      <c r="A330" s="27" t="s">
        <v>187</v>
      </c>
      <c r="B330" s="31" t="s">
        <v>769</v>
      </c>
      <c r="C330" s="31" t="s">
        <v>42</v>
      </c>
      <c r="D330" s="32">
        <v>14.0</v>
      </c>
      <c r="E330" s="34">
        <v>5.0</v>
      </c>
      <c r="F330" s="32">
        <v>8.0</v>
      </c>
      <c r="G330" s="32">
        <v>1.0</v>
      </c>
      <c r="H330" s="32">
        <v>22.0</v>
      </c>
      <c r="I330" s="34">
        <v>9.0</v>
      </c>
      <c r="J330" s="36">
        <v>0.3571</v>
      </c>
      <c r="K330" s="36">
        <v>0.5714</v>
      </c>
      <c r="L330" s="37">
        <v>0.0714</v>
      </c>
      <c r="M330" s="110"/>
      <c r="N330" s="108">
        <v>0.4091</v>
      </c>
      <c r="O330" s="34">
        <v>1.69</v>
      </c>
      <c r="P330" s="32">
        <v>1.57</v>
      </c>
      <c r="Q330" s="37">
        <v>0.9286</v>
      </c>
      <c r="R330" s="107">
        <v>0.3846</v>
      </c>
      <c r="S330" s="42"/>
      <c r="T330" s="55"/>
      <c r="U330" s="44"/>
      <c r="V330" s="44"/>
      <c r="W330" s="15"/>
      <c r="X330" s="15"/>
    </row>
    <row r="331">
      <c r="A331" s="27" t="s">
        <v>366</v>
      </c>
      <c r="B331" s="31" t="s">
        <v>770</v>
      </c>
      <c r="C331" s="31" t="s">
        <v>33</v>
      </c>
      <c r="D331" s="32">
        <v>161.0</v>
      </c>
      <c r="E331" s="34">
        <v>51.0</v>
      </c>
      <c r="F331" s="32">
        <v>71.0</v>
      </c>
      <c r="G331" s="32">
        <v>39.0</v>
      </c>
      <c r="H331" s="32">
        <v>322.0</v>
      </c>
      <c r="I331" s="34">
        <v>200.0</v>
      </c>
      <c r="J331" s="36">
        <v>0.3168</v>
      </c>
      <c r="K331" s="36">
        <v>0.441</v>
      </c>
      <c r="L331" s="37">
        <v>0.2422</v>
      </c>
      <c r="M331" s="110"/>
      <c r="N331" s="108">
        <v>0.6211</v>
      </c>
      <c r="O331" s="34">
        <v>2.64</v>
      </c>
      <c r="P331" s="32">
        <v>2.0</v>
      </c>
      <c r="Q331" s="37">
        <v>0.7578</v>
      </c>
      <c r="R331" s="107">
        <v>0.418</v>
      </c>
      <c r="S331" s="42"/>
      <c r="T331" s="55"/>
      <c r="U331" s="44"/>
      <c r="V331" s="44"/>
      <c r="W331" s="15"/>
      <c r="X331" s="15"/>
    </row>
    <row r="332">
      <c r="A332" s="27" t="s">
        <v>283</v>
      </c>
      <c r="B332" s="31" t="s">
        <v>771</v>
      </c>
      <c r="C332" s="31" t="s">
        <v>42</v>
      </c>
      <c r="D332" s="32">
        <v>3.0</v>
      </c>
      <c r="E332" s="34">
        <v>1.0</v>
      </c>
      <c r="F332" s="32">
        <v>2.0</v>
      </c>
      <c r="G332" s="32">
        <v>0.0</v>
      </c>
      <c r="H332" s="32">
        <v>4.0</v>
      </c>
      <c r="I332" s="34">
        <v>1.0</v>
      </c>
      <c r="J332" s="36">
        <v>0.3333</v>
      </c>
      <c r="K332" s="36">
        <v>0.6667</v>
      </c>
      <c r="L332" s="37">
        <v>0.0</v>
      </c>
      <c r="M332" s="110"/>
      <c r="N332" s="108">
        <v>0.25</v>
      </c>
      <c r="O332" s="34">
        <v>1.33</v>
      </c>
      <c r="P332" s="32">
        <v>1.33</v>
      </c>
      <c r="Q332" s="37">
        <v>1.0</v>
      </c>
      <c r="R332" s="107">
        <v>0.3333</v>
      </c>
      <c r="S332" s="42"/>
      <c r="T332" s="55"/>
      <c r="U332" s="44"/>
      <c r="V332" s="44"/>
      <c r="W332" s="15"/>
      <c r="X332" s="15"/>
    </row>
    <row r="333">
      <c r="A333" s="27" t="s">
        <v>431</v>
      </c>
      <c r="B333" s="31" t="s">
        <v>772</v>
      </c>
      <c r="C333" s="31" t="s">
        <v>98</v>
      </c>
      <c r="D333" s="32">
        <v>31.0</v>
      </c>
      <c r="E333" s="34">
        <v>8.0</v>
      </c>
      <c r="F333" s="32">
        <v>10.0</v>
      </c>
      <c r="G333" s="32">
        <v>13.0</v>
      </c>
      <c r="H333" s="32">
        <v>36.0</v>
      </c>
      <c r="I333" s="34">
        <v>18.0</v>
      </c>
      <c r="J333" s="36">
        <v>0.2581</v>
      </c>
      <c r="K333" s="36">
        <v>0.3226</v>
      </c>
      <c r="L333" s="37">
        <v>0.4194</v>
      </c>
      <c r="M333" s="110"/>
      <c r="N333" s="108">
        <v>0.5</v>
      </c>
      <c r="O333" s="34">
        <v>2.0</v>
      </c>
      <c r="P333" s="32">
        <v>1.16</v>
      </c>
      <c r="Q333" s="37">
        <v>0.5806</v>
      </c>
      <c r="R333" s="107">
        <v>0.4444</v>
      </c>
      <c r="S333" s="42"/>
      <c r="T333" s="43"/>
      <c r="U333" s="44"/>
      <c r="V333" s="44"/>
      <c r="W333" s="15"/>
      <c r="X333" s="15"/>
    </row>
    <row r="334">
      <c r="A334" s="27" t="s">
        <v>387</v>
      </c>
      <c r="B334" s="31" t="s">
        <v>773</v>
      </c>
      <c r="C334" s="31" t="s">
        <v>31</v>
      </c>
      <c r="D334" s="32">
        <v>195.0</v>
      </c>
      <c r="E334" s="34">
        <v>32.0</v>
      </c>
      <c r="F334" s="32">
        <v>89.0</v>
      </c>
      <c r="G334" s="32">
        <v>74.0</v>
      </c>
      <c r="H334" s="32">
        <v>343.0</v>
      </c>
      <c r="I334" s="34">
        <v>222.0</v>
      </c>
      <c r="J334" s="36">
        <v>0.1641</v>
      </c>
      <c r="K334" s="36">
        <v>0.4564</v>
      </c>
      <c r="L334" s="37">
        <v>0.3795</v>
      </c>
      <c r="M334" s="110"/>
      <c r="N334" s="108">
        <v>0.6472</v>
      </c>
      <c r="O334" s="34">
        <v>2.83</v>
      </c>
      <c r="P334" s="32">
        <v>1.76</v>
      </c>
      <c r="Q334" s="37">
        <v>0.6205</v>
      </c>
      <c r="R334" s="107">
        <v>0.2645</v>
      </c>
      <c r="S334" s="42"/>
      <c r="T334" s="43"/>
      <c r="U334" s="44"/>
      <c r="V334" s="44"/>
      <c r="W334" s="15"/>
      <c r="X334" s="15"/>
    </row>
    <row r="335">
      <c r="A335" s="27" t="s">
        <v>620</v>
      </c>
      <c r="B335" s="31" t="s">
        <v>774</v>
      </c>
      <c r="C335" s="31" t="s">
        <v>42</v>
      </c>
      <c r="D335" s="32">
        <v>244.0</v>
      </c>
      <c r="E335" s="34">
        <v>25.0</v>
      </c>
      <c r="F335" s="32">
        <v>81.0</v>
      </c>
      <c r="G335" s="32">
        <v>138.0</v>
      </c>
      <c r="H335" s="32">
        <v>187.0</v>
      </c>
      <c r="I335" s="34">
        <v>81.0</v>
      </c>
      <c r="J335" s="36">
        <v>0.1025</v>
      </c>
      <c r="K335" s="36">
        <v>0.332</v>
      </c>
      <c r="L335" s="37">
        <v>0.5656</v>
      </c>
      <c r="M335" s="110"/>
      <c r="N335" s="108">
        <v>0.4332</v>
      </c>
      <c r="O335" s="34">
        <v>1.76</v>
      </c>
      <c r="P335" s="32">
        <v>0.77</v>
      </c>
      <c r="Q335" s="37">
        <v>0.4344</v>
      </c>
      <c r="R335" s="107">
        <v>0.2358</v>
      </c>
      <c r="S335" s="42"/>
      <c r="T335" s="43"/>
      <c r="U335" s="44"/>
      <c r="V335" s="44"/>
      <c r="W335" s="15"/>
      <c r="X335" s="15"/>
    </row>
    <row r="336">
      <c r="A336" s="27" t="s">
        <v>398</v>
      </c>
      <c r="B336" s="31" t="s">
        <v>775</v>
      </c>
      <c r="C336" s="31" t="s">
        <v>124</v>
      </c>
      <c r="D336" s="32">
        <v>34.0</v>
      </c>
      <c r="E336" s="34">
        <v>10.0</v>
      </c>
      <c r="F336" s="32">
        <v>8.0</v>
      </c>
      <c r="G336" s="32">
        <v>16.0</v>
      </c>
      <c r="H336" s="32">
        <v>53.0</v>
      </c>
      <c r="I336" s="34">
        <v>35.0</v>
      </c>
      <c r="J336" s="36">
        <v>0.2941</v>
      </c>
      <c r="K336" s="36">
        <v>0.2353</v>
      </c>
      <c r="L336" s="37">
        <v>0.4706</v>
      </c>
      <c r="M336" s="110"/>
      <c r="N336" s="108">
        <v>0.6604</v>
      </c>
      <c r="O336" s="34">
        <v>2.94</v>
      </c>
      <c r="P336" s="32">
        <v>1.56</v>
      </c>
      <c r="Q336" s="37">
        <v>0.5294</v>
      </c>
      <c r="R336" s="107">
        <v>0.5556</v>
      </c>
      <c r="S336" s="42"/>
      <c r="T336" s="43"/>
      <c r="U336" s="44"/>
      <c r="V336" s="44"/>
      <c r="W336" s="15"/>
      <c r="X336" s="15"/>
    </row>
    <row r="337">
      <c r="A337" s="27" t="s">
        <v>137</v>
      </c>
      <c r="B337" s="31" t="s">
        <v>776</v>
      </c>
      <c r="C337" s="31" t="s">
        <v>42</v>
      </c>
      <c r="D337" s="32">
        <v>105.0</v>
      </c>
      <c r="E337" s="34">
        <v>12.0</v>
      </c>
      <c r="F337" s="32">
        <v>27.0</v>
      </c>
      <c r="G337" s="32">
        <v>66.0</v>
      </c>
      <c r="H337" s="32">
        <v>111.0</v>
      </c>
      <c r="I337" s="34">
        <v>72.0</v>
      </c>
      <c r="J337" s="36">
        <v>0.1143</v>
      </c>
      <c r="K337" s="36">
        <v>0.2571</v>
      </c>
      <c r="L337" s="37">
        <v>0.6286</v>
      </c>
      <c r="M337" s="110"/>
      <c r="N337" s="108">
        <v>0.6486</v>
      </c>
      <c r="O337" s="34">
        <v>2.85</v>
      </c>
      <c r="P337" s="32">
        <v>1.06</v>
      </c>
      <c r="Q337" s="37">
        <v>0.3714</v>
      </c>
      <c r="R337" s="107">
        <v>0.3077</v>
      </c>
      <c r="S337" s="42"/>
      <c r="T337" s="43"/>
      <c r="U337" s="44"/>
      <c r="V337" s="44"/>
      <c r="W337" s="15"/>
      <c r="X337" s="15"/>
    </row>
    <row r="338">
      <c r="A338" s="27" t="s">
        <v>457</v>
      </c>
      <c r="B338" s="31" t="s">
        <v>777</v>
      </c>
      <c r="C338" s="31" t="s">
        <v>46</v>
      </c>
      <c r="D338" s="32">
        <v>22.0</v>
      </c>
      <c r="E338" s="34">
        <v>8.0</v>
      </c>
      <c r="F338" s="32">
        <v>10.0</v>
      </c>
      <c r="G338" s="32">
        <v>4.0</v>
      </c>
      <c r="H338" s="32">
        <v>36.0</v>
      </c>
      <c r="I338" s="34">
        <v>18.0</v>
      </c>
      <c r="J338" s="36">
        <v>0.3636</v>
      </c>
      <c r="K338" s="36">
        <v>0.4545</v>
      </c>
      <c r="L338" s="37">
        <v>0.1818</v>
      </c>
      <c r="M338" s="110"/>
      <c r="N338" s="108">
        <v>0.5</v>
      </c>
      <c r="O338" s="34">
        <v>2.0</v>
      </c>
      <c r="P338" s="32">
        <v>1.64</v>
      </c>
      <c r="Q338" s="37">
        <v>0.8182</v>
      </c>
      <c r="R338" s="107">
        <v>0.4444</v>
      </c>
      <c r="S338" s="42"/>
      <c r="T338" s="43"/>
      <c r="U338" s="44"/>
      <c r="V338" s="44"/>
      <c r="W338" s="15"/>
      <c r="X338" s="15"/>
    </row>
    <row r="339">
      <c r="A339" s="27" t="s">
        <v>512</v>
      </c>
      <c r="B339" s="31" t="s">
        <v>778</v>
      </c>
      <c r="C339" s="31" t="s">
        <v>26</v>
      </c>
      <c r="D339" s="32">
        <v>56.0</v>
      </c>
      <c r="E339" s="34">
        <v>11.0</v>
      </c>
      <c r="F339" s="32">
        <v>15.0</v>
      </c>
      <c r="G339" s="32">
        <v>30.0</v>
      </c>
      <c r="H339" s="32">
        <v>41.0</v>
      </c>
      <c r="I339" s="34">
        <v>15.0</v>
      </c>
      <c r="J339" s="36">
        <v>0.1964</v>
      </c>
      <c r="K339" s="36">
        <v>0.2679</v>
      </c>
      <c r="L339" s="37">
        <v>0.5357</v>
      </c>
      <c r="M339" s="110"/>
      <c r="N339" s="108">
        <v>0.3659</v>
      </c>
      <c r="O339" s="34">
        <v>1.58</v>
      </c>
      <c r="P339" s="32">
        <v>0.73</v>
      </c>
      <c r="Q339" s="37">
        <v>0.4643</v>
      </c>
      <c r="R339" s="107">
        <v>0.4231</v>
      </c>
      <c r="S339" s="42"/>
      <c r="T339" s="43"/>
      <c r="U339" s="44"/>
      <c r="V339" s="44"/>
      <c r="W339" s="15"/>
      <c r="X339" s="15"/>
    </row>
    <row r="340">
      <c r="A340" s="27" t="s">
        <v>355</v>
      </c>
      <c r="B340" s="31" t="s">
        <v>779</v>
      </c>
      <c r="C340" s="31" t="s">
        <v>98</v>
      </c>
      <c r="D340" s="32">
        <v>46.0</v>
      </c>
      <c r="E340" s="34">
        <v>8.0</v>
      </c>
      <c r="F340" s="32">
        <v>8.0</v>
      </c>
      <c r="G340" s="32">
        <v>30.0</v>
      </c>
      <c r="H340" s="32">
        <v>36.0</v>
      </c>
      <c r="I340" s="34">
        <v>20.0</v>
      </c>
      <c r="J340" s="36">
        <v>0.1739</v>
      </c>
      <c r="K340" s="36">
        <v>0.1739</v>
      </c>
      <c r="L340" s="37">
        <v>0.6522</v>
      </c>
      <c r="M340" s="110"/>
      <c r="N340" s="108">
        <v>0.5556</v>
      </c>
      <c r="O340" s="34">
        <v>2.25</v>
      </c>
      <c r="P340" s="32">
        <v>0.78</v>
      </c>
      <c r="Q340" s="37">
        <v>0.3478</v>
      </c>
      <c r="R340" s="107">
        <v>0.5</v>
      </c>
      <c r="S340" s="42"/>
      <c r="T340" s="43"/>
      <c r="U340" s="44"/>
      <c r="V340" s="44"/>
      <c r="W340" s="15"/>
      <c r="X340" s="15"/>
    </row>
    <row r="341">
      <c r="A341" s="27" t="s">
        <v>530</v>
      </c>
      <c r="B341" s="31" t="s">
        <v>780</v>
      </c>
      <c r="C341" s="31" t="s">
        <v>33</v>
      </c>
      <c r="D341" s="32">
        <v>26.0</v>
      </c>
      <c r="E341" s="34">
        <v>1.0</v>
      </c>
      <c r="F341" s="32">
        <v>14.0</v>
      </c>
      <c r="G341" s="32">
        <v>11.0</v>
      </c>
      <c r="H341" s="32">
        <v>16.0</v>
      </c>
      <c r="I341" s="34">
        <v>1.0</v>
      </c>
      <c r="J341" s="36">
        <v>0.0385</v>
      </c>
      <c r="K341" s="36">
        <v>0.5385</v>
      </c>
      <c r="L341" s="37">
        <v>0.4231</v>
      </c>
      <c r="M341" s="110"/>
      <c r="N341" s="108">
        <v>0.0625</v>
      </c>
      <c r="O341" s="34">
        <v>1.07</v>
      </c>
      <c r="P341" s="32">
        <v>0.62</v>
      </c>
      <c r="Q341" s="37">
        <v>0.5769</v>
      </c>
      <c r="R341" s="107">
        <v>0.0667</v>
      </c>
      <c r="S341" s="42"/>
      <c r="T341" s="43"/>
      <c r="U341" s="44"/>
      <c r="V341" s="44"/>
      <c r="W341" s="15"/>
      <c r="X341" s="15"/>
    </row>
    <row r="342">
      <c r="A342" s="27" t="s">
        <v>434</v>
      </c>
      <c r="B342" s="31" t="s">
        <v>781</v>
      </c>
      <c r="C342" s="31" t="s">
        <v>46</v>
      </c>
      <c r="D342" s="32">
        <v>63.0</v>
      </c>
      <c r="E342" s="34">
        <v>35.0</v>
      </c>
      <c r="F342" s="32">
        <v>20.0</v>
      </c>
      <c r="G342" s="32">
        <v>8.0</v>
      </c>
      <c r="H342" s="32">
        <v>127.0</v>
      </c>
      <c r="I342" s="34">
        <v>72.0</v>
      </c>
      <c r="J342" s="36">
        <v>0.5556</v>
      </c>
      <c r="K342" s="36">
        <v>0.3175</v>
      </c>
      <c r="L342" s="37">
        <v>0.127</v>
      </c>
      <c r="M342" s="110"/>
      <c r="N342" s="108">
        <v>0.5669</v>
      </c>
      <c r="O342" s="34">
        <v>2.31</v>
      </c>
      <c r="P342" s="32">
        <v>2.02</v>
      </c>
      <c r="Q342" s="37">
        <v>0.873</v>
      </c>
      <c r="R342" s="107">
        <v>0.6364</v>
      </c>
      <c r="S342" s="42"/>
      <c r="T342" s="43"/>
      <c r="U342" s="44"/>
      <c r="V342" s="44"/>
      <c r="W342" s="15"/>
      <c r="X342" s="15"/>
    </row>
    <row r="343">
      <c r="A343" s="27" t="s">
        <v>553</v>
      </c>
      <c r="B343" s="31" t="s">
        <v>782</v>
      </c>
      <c r="C343" s="31" t="s">
        <v>124</v>
      </c>
      <c r="D343" s="32">
        <v>21.0</v>
      </c>
      <c r="E343" s="34">
        <v>2.0</v>
      </c>
      <c r="F343" s="32">
        <v>7.0</v>
      </c>
      <c r="G343" s="32">
        <v>12.0</v>
      </c>
      <c r="H343" s="32">
        <v>14.0</v>
      </c>
      <c r="I343" s="34">
        <v>5.0</v>
      </c>
      <c r="J343" s="36">
        <v>0.0952</v>
      </c>
      <c r="K343" s="36">
        <v>0.3333</v>
      </c>
      <c r="L343" s="37">
        <v>0.5714</v>
      </c>
      <c r="M343" s="110"/>
      <c r="N343" s="108">
        <v>0.3571</v>
      </c>
      <c r="O343" s="34">
        <v>1.56</v>
      </c>
      <c r="P343" s="32">
        <v>0.67</v>
      </c>
      <c r="Q343" s="37">
        <v>0.4286</v>
      </c>
      <c r="R343" s="107">
        <v>0.2222</v>
      </c>
      <c r="S343" s="42"/>
      <c r="T343" s="43"/>
      <c r="U343" s="44"/>
      <c r="V343" s="44"/>
      <c r="W343" s="15"/>
      <c r="X343" s="15"/>
    </row>
    <row r="344">
      <c r="A344" s="27" t="s">
        <v>261</v>
      </c>
      <c r="B344" s="31" t="s">
        <v>783</v>
      </c>
      <c r="C344" s="31" t="s">
        <v>31</v>
      </c>
      <c r="D344" s="32">
        <v>44.0</v>
      </c>
      <c r="E344" s="34">
        <v>13.0</v>
      </c>
      <c r="F344" s="32">
        <v>14.0</v>
      </c>
      <c r="G344" s="32">
        <v>17.0</v>
      </c>
      <c r="H344" s="32">
        <v>48.0</v>
      </c>
      <c r="I344" s="34">
        <v>21.0</v>
      </c>
      <c r="J344" s="36">
        <v>0.2955</v>
      </c>
      <c r="K344" s="36">
        <v>0.3182</v>
      </c>
      <c r="L344" s="37">
        <v>0.3864</v>
      </c>
      <c r="M344" s="110"/>
      <c r="N344" s="108">
        <v>0.4375</v>
      </c>
      <c r="O344" s="34">
        <v>1.78</v>
      </c>
      <c r="P344" s="32">
        <v>1.09</v>
      </c>
      <c r="Q344" s="37">
        <v>0.6136</v>
      </c>
      <c r="R344" s="107">
        <v>0.4815</v>
      </c>
      <c r="S344" s="42"/>
      <c r="T344" s="43"/>
      <c r="U344" s="44"/>
      <c r="V344" s="44"/>
      <c r="W344" s="15"/>
      <c r="X344" s="15"/>
    </row>
    <row r="345">
      <c r="A345" s="27" t="s">
        <v>576</v>
      </c>
      <c r="B345" s="31" t="s">
        <v>784</v>
      </c>
      <c r="C345" s="31" t="s">
        <v>33</v>
      </c>
      <c r="D345" s="32">
        <v>12.0</v>
      </c>
      <c r="E345" s="34">
        <v>0.0</v>
      </c>
      <c r="F345" s="32">
        <v>3.0</v>
      </c>
      <c r="G345" s="32">
        <v>9.0</v>
      </c>
      <c r="H345" s="32">
        <v>3.0</v>
      </c>
      <c r="I345" s="34">
        <v>0.0</v>
      </c>
      <c r="J345" s="36">
        <v>0.0</v>
      </c>
      <c r="K345" s="36">
        <v>0.25</v>
      </c>
      <c r="L345" s="37">
        <v>0.75</v>
      </c>
      <c r="M345" s="110"/>
      <c r="N345" s="108">
        <v>0.0</v>
      </c>
      <c r="O345" s="34">
        <v>1.0</v>
      </c>
      <c r="P345" s="32">
        <v>0.25</v>
      </c>
      <c r="Q345" s="37">
        <v>0.25</v>
      </c>
      <c r="R345" s="107">
        <v>0.0</v>
      </c>
      <c r="S345" s="42"/>
      <c r="T345" s="43"/>
      <c r="U345" s="44"/>
      <c r="V345" s="44"/>
      <c r="W345" s="15"/>
      <c r="X345" s="15"/>
    </row>
    <row r="346">
      <c r="A346" s="27" t="s">
        <v>199</v>
      </c>
      <c r="B346" s="31" t="s">
        <v>785</v>
      </c>
      <c r="C346" s="31" t="s">
        <v>33</v>
      </c>
      <c r="D346" s="32">
        <v>60.0</v>
      </c>
      <c r="E346" s="34">
        <v>14.0</v>
      </c>
      <c r="F346" s="32">
        <v>15.0</v>
      </c>
      <c r="G346" s="32">
        <v>31.0</v>
      </c>
      <c r="H346" s="32">
        <v>77.0</v>
      </c>
      <c r="I346" s="34">
        <v>48.0</v>
      </c>
      <c r="J346" s="36">
        <v>0.2333</v>
      </c>
      <c r="K346" s="36">
        <v>0.25</v>
      </c>
      <c r="L346" s="37">
        <v>0.5167</v>
      </c>
      <c r="M346" s="110"/>
      <c r="N346" s="108">
        <v>0.6234</v>
      </c>
      <c r="O346" s="34">
        <v>2.66</v>
      </c>
      <c r="P346" s="32">
        <v>1.28</v>
      </c>
      <c r="Q346" s="37">
        <v>0.4833</v>
      </c>
      <c r="R346" s="107">
        <v>0.4828</v>
      </c>
      <c r="S346" s="42"/>
      <c r="T346" s="43"/>
      <c r="U346" s="44"/>
      <c r="V346" s="44"/>
      <c r="W346" s="15"/>
      <c r="X346" s="15"/>
    </row>
    <row r="347">
      <c r="A347" s="27" t="s">
        <v>401</v>
      </c>
      <c r="B347" s="31" t="s">
        <v>786</v>
      </c>
      <c r="C347" s="31" t="s">
        <v>46</v>
      </c>
      <c r="D347" s="32">
        <v>16.0</v>
      </c>
      <c r="E347" s="34">
        <v>2.0</v>
      </c>
      <c r="F347" s="32">
        <v>5.0</v>
      </c>
      <c r="G347" s="32">
        <v>9.0</v>
      </c>
      <c r="H347" s="32">
        <v>11.0</v>
      </c>
      <c r="I347" s="34">
        <v>4.0</v>
      </c>
      <c r="J347" s="36">
        <v>0.125</v>
      </c>
      <c r="K347" s="36">
        <v>0.3125</v>
      </c>
      <c r="L347" s="37">
        <v>0.5625</v>
      </c>
      <c r="M347" s="110"/>
      <c r="N347" s="108">
        <v>0.3636</v>
      </c>
      <c r="O347" s="34">
        <v>1.57</v>
      </c>
      <c r="P347" s="32">
        <v>0.69</v>
      </c>
      <c r="Q347" s="37">
        <v>0.4375</v>
      </c>
      <c r="R347" s="107">
        <v>0.2857</v>
      </c>
      <c r="S347" s="42"/>
      <c r="T347" s="43"/>
      <c r="U347" s="44"/>
      <c r="V347" s="44"/>
      <c r="W347" s="15"/>
      <c r="X347" s="15"/>
    </row>
    <row r="348">
      <c r="A348" s="27" t="s">
        <v>327</v>
      </c>
      <c r="B348" s="31" t="s">
        <v>787</v>
      </c>
      <c r="C348" s="31" t="s">
        <v>55</v>
      </c>
      <c r="D348" s="32">
        <v>20.0</v>
      </c>
      <c r="E348" s="34">
        <v>2.0</v>
      </c>
      <c r="F348" s="32">
        <v>8.0</v>
      </c>
      <c r="G348" s="32">
        <v>10.0</v>
      </c>
      <c r="H348" s="32">
        <v>12.0</v>
      </c>
      <c r="I348" s="34">
        <v>2.0</v>
      </c>
      <c r="J348" s="36">
        <v>0.1</v>
      </c>
      <c r="K348" s="36">
        <v>0.4</v>
      </c>
      <c r="L348" s="37">
        <v>0.5</v>
      </c>
      <c r="M348" s="110"/>
      <c r="N348" s="108">
        <v>0.1667</v>
      </c>
      <c r="O348" s="34">
        <v>1.2</v>
      </c>
      <c r="P348" s="32">
        <v>0.6</v>
      </c>
      <c r="Q348" s="37">
        <v>0.5</v>
      </c>
      <c r="R348" s="107">
        <v>0.2</v>
      </c>
      <c r="S348" s="42"/>
      <c r="T348" s="43"/>
      <c r="U348" s="44"/>
      <c r="V348" s="44"/>
      <c r="W348" s="15"/>
      <c r="X348" s="15"/>
    </row>
    <row r="349">
      <c r="A349" s="27" t="s">
        <v>296</v>
      </c>
      <c r="B349" s="31" t="s">
        <v>788</v>
      </c>
      <c r="C349" s="31" t="s">
        <v>26</v>
      </c>
      <c r="D349" s="32">
        <v>20.0</v>
      </c>
      <c r="E349" s="34">
        <v>17.0</v>
      </c>
      <c r="F349" s="32">
        <v>3.0</v>
      </c>
      <c r="G349" s="32">
        <v>0.0</v>
      </c>
      <c r="H349" s="32">
        <v>71.0</v>
      </c>
      <c r="I349" s="34">
        <v>51.0</v>
      </c>
      <c r="J349" s="36">
        <v>0.85</v>
      </c>
      <c r="K349" s="36">
        <v>0.15</v>
      </c>
      <c r="L349" s="37">
        <v>0.0</v>
      </c>
      <c r="M349" s="110"/>
      <c r="N349" s="108">
        <v>0.7183</v>
      </c>
      <c r="O349" s="34">
        <v>3.55</v>
      </c>
      <c r="P349" s="32">
        <v>3.55</v>
      </c>
      <c r="Q349" s="37">
        <v>1.0</v>
      </c>
      <c r="R349" s="107">
        <v>0.85</v>
      </c>
      <c r="S349" s="42"/>
      <c r="T349" s="43"/>
      <c r="U349" s="44"/>
      <c r="V349" s="44"/>
      <c r="W349" s="15"/>
      <c r="X349" s="15"/>
    </row>
    <row r="350">
      <c r="A350" s="27" t="s">
        <v>588</v>
      </c>
      <c r="B350" s="31" t="s">
        <v>789</v>
      </c>
      <c r="C350" s="31" t="s">
        <v>26</v>
      </c>
      <c r="D350" s="32">
        <v>64.0</v>
      </c>
      <c r="E350" s="34">
        <v>10.0</v>
      </c>
      <c r="F350" s="32">
        <v>19.0</v>
      </c>
      <c r="G350" s="32">
        <v>35.0</v>
      </c>
      <c r="H350" s="32">
        <v>41.0</v>
      </c>
      <c r="I350" s="34">
        <v>12.0</v>
      </c>
      <c r="J350" s="36">
        <v>0.1563</v>
      </c>
      <c r="K350" s="36">
        <v>0.2969</v>
      </c>
      <c r="L350" s="37">
        <v>0.5469</v>
      </c>
      <c r="M350" s="110"/>
      <c r="N350" s="108">
        <v>0.2927</v>
      </c>
      <c r="O350" s="34">
        <v>1.41</v>
      </c>
      <c r="P350" s="32">
        <v>0.64</v>
      </c>
      <c r="Q350" s="37">
        <v>0.4531</v>
      </c>
      <c r="R350" s="107">
        <v>0.3448</v>
      </c>
      <c r="S350" s="42"/>
      <c r="T350" s="43"/>
      <c r="U350" s="44"/>
      <c r="V350" s="44"/>
      <c r="W350" s="15"/>
      <c r="X350" s="15"/>
    </row>
    <row r="351">
      <c r="A351" s="27" t="s">
        <v>600</v>
      </c>
      <c r="B351" s="31" t="s">
        <v>790</v>
      </c>
      <c r="C351" s="31" t="s">
        <v>31</v>
      </c>
      <c r="D351" s="32">
        <v>87.0</v>
      </c>
      <c r="E351" s="34">
        <v>40.0</v>
      </c>
      <c r="F351" s="32">
        <v>42.0</v>
      </c>
      <c r="G351" s="32">
        <v>5.0</v>
      </c>
      <c r="H351" s="32">
        <v>185.0</v>
      </c>
      <c r="I351" s="34">
        <v>103.0</v>
      </c>
      <c r="J351" s="36">
        <v>0.4598</v>
      </c>
      <c r="K351" s="36">
        <v>0.4828</v>
      </c>
      <c r="L351" s="37">
        <v>0.0575</v>
      </c>
      <c r="M351" s="110"/>
      <c r="N351" s="108">
        <v>0.5568</v>
      </c>
      <c r="O351" s="34">
        <v>2.26</v>
      </c>
      <c r="P351" s="32">
        <v>2.13</v>
      </c>
      <c r="Q351" s="37">
        <v>0.9425</v>
      </c>
      <c r="R351" s="107">
        <v>0.4878</v>
      </c>
      <c r="S351" s="42"/>
      <c r="T351" s="43"/>
      <c r="U351" s="44"/>
      <c r="V351" s="44"/>
      <c r="W351" s="15"/>
      <c r="X351" s="15"/>
    </row>
    <row r="352">
      <c r="A352" s="27" t="s">
        <v>417</v>
      </c>
      <c r="B352" s="31" t="s">
        <v>791</v>
      </c>
      <c r="C352" s="31" t="s">
        <v>31</v>
      </c>
      <c r="D352" s="32">
        <v>34.0</v>
      </c>
      <c r="E352" s="34">
        <v>12.0</v>
      </c>
      <c r="F352" s="32">
        <v>15.0</v>
      </c>
      <c r="G352" s="32">
        <v>7.0</v>
      </c>
      <c r="H352" s="32">
        <v>51.0</v>
      </c>
      <c r="I352" s="34">
        <v>24.0</v>
      </c>
      <c r="J352" s="36">
        <v>0.3529</v>
      </c>
      <c r="K352" s="36">
        <v>0.4412</v>
      </c>
      <c r="L352" s="37">
        <v>0.2059</v>
      </c>
      <c r="M352" s="110"/>
      <c r="N352" s="108">
        <v>0.4706</v>
      </c>
      <c r="O352" s="34">
        <v>1.89</v>
      </c>
      <c r="P352" s="32">
        <v>1.5</v>
      </c>
      <c r="Q352" s="37">
        <v>0.7941</v>
      </c>
      <c r="R352" s="107">
        <v>0.4444</v>
      </c>
      <c r="S352" s="42"/>
      <c r="T352" s="43"/>
      <c r="U352" s="44"/>
      <c r="V352" s="44"/>
      <c r="W352" s="15"/>
      <c r="X352" s="15"/>
    </row>
    <row r="353">
      <c r="A353" s="27" t="s">
        <v>423</v>
      </c>
      <c r="B353" s="31" t="s">
        <v>792</v>
      </c>
      <c r="C353" s="31" t="s">
        <v>33</v>
      </c>
      <c r="D353" s="32">
        <v>18.0</v>
      </c>
      <c r="E353" s="34">
        <v>6.0</v>
      </c>
      <c r="F353" s="32">
        <v>9.0</v>
      </c>
      <c r="G353" s="32">
        <v>3.0</v>
      </c>
      <c r="H353" s="32">
        <v>33.0</v>
      </c>
      <c r="I353" s="34">
        <v>18.0</v>
      </c>
      <c r="J353" s="36">
        <v>0.3333</v>
      </c>
      <c r="K353" s="36">
        <v>0.5</v>
      </c>
      <c r="L353" s="37">
        <v>0.1667</v>
      </c>
      <c r="M353" s="110"/>
      <c r="N353" s="108">
        <v>0.5455</v>
      </c>
      <c r="O353" s="34">
        <v>2.2</v>
      </c>
      <c r="P353" s="32">
        <v>1.83</v>
      </c>
      <c r="Q353" s="37">
        <v>0.8333</v>
      </c>
      <c r="R353" s="107">
        <v>0.4</v>
      </c>
      <c r="S353" s="42"/>
      <c r="T353" s="43"/>
      <c r="U353" s="44"/>
      <c r="V353" s="44"/>
      <c r="W353" s="15"/>
      <c r="X353" s="15"/>
    </row>
    <row r="354">
      <c r="A354" s="27" t="s">
        <v>461</v>
      </c>
      <c r="B354" s="31" t="s">
        <v>793</v>
      </c>
      <c r="C354" s="31" t="s">
        <v>26</v>
      </c>
      <c r="D354" s="32">
        <v>523.0</v>
      </c>
      <c r="E354" s="34">
        <v>252.0</v>
      </c>
      <c r="F354" s="32">
        <v>144.0</v>
      </c>
      <c r="G354" s="32">
        <v>127.0</v>
      </c>
      <c r="H354" s="32">
        <v>830.0</v>
      </c>
      <c r="I354" s="34">
        <v>434.0</v>
      </c>
      <c r="J354" s="36">
        <v>0.4818</v>
      </c>
      <c r="K354" s="36">
        <v>0.2753</v>
      </c>
      <c r="L354" s="37">
        <v>0.2428</v>
      </c>
      <c r="M354" s="110"/>
      <c r="N354" s="108">
        <v>0.5229</v>
      </c>
      <c r="O354" s="34">
        <v>2.1</v>
      </c>
      <c r="P354" s="32">
        <v>1.59</v>
      </c>
      <c r="Q354" s="37">
        <v>0.7572</v>
      </c>
      <c r="R354" s="107">
        <v>0.6364</v>
      </c>
      <c r="S354" s="42"/>
      <c r="T354" s="43"/>
      <c r="U354" s="44"/>
      <c r="V354" s="44"/>
      <c r="W354" s="15"/>
      <c r="X354" s="15"/>
    </row>
    <row r="355">
      <c r="A355" s="27" t="s">
        <v>537</v>
      </c>
      <c r="B355" s="31" t="s">
        <v>794</v>
      </c>
      <c r="C355" s="31" t="s">
        <v>98</v>
      </c>
      <c r="D355" s="32">
        <v>73.0</v>
      </c>
      <c r="E355" s="34">
        <v>37.0</v>
      </c>
      <c r="F355" s="32">
        <v>25.0</v>
      </c>
      <c r="G355" s="32">
        <v>11.0</v>
      </c>
      <c r="H355" s="32">
        <v>149.0</v>
      </c>
      <c r="I355" s="34">
        <v>87.0</v>
      </c>
      <c r="J355" s="36">
        <v>0.5068</v>
      </c>
      <c r="K355" s="36">
        <v>0.3425</v>
      </c>
      <c r="L355" s="37">
        <v>0.1507</v>
      </c>
      <c r="M355" s="110"/>
      <c r="N355" s="108">
        <v>0.5839</v>
      </c>
      <c r="O355" s="34">
        <v>2.4</v>
      </c>
      <c r="P355" s="32">
        <v>2.04</v>
      </c>
      <c r="Q355" s="37">
        <v>0.8493</v>
      </c>
      <c r="R355" s="107">
        <v>0.5968</v>
      </c>
      <c r="S355" s="42"/>
      <c r="T355" s="43"/>
      <c r="U355" s="44"/>
      <c r="V355" s="44"/>
      <c r="W355" s="15"/>
      <c r="X355" s="15"/>
    </row>
    <row r="356">
      <c r="A356" s="27" t="s">
        <v>562</v>
      </c>
      <c r="B356" s="31" t="s">
        <v>795</v>
      </c>
      <c r="C356" s="31" t="s">
        <v>31</v>
      </c>
      <c r="D356" s="32">
        <v>21.0</v>
      </c>
      <c r="E356" s="34">
        <v>9.0</v>
      </c>
      <c r="F356" s="32">
        <v>5.0</v>
      </c>
      <c r="G356" s="32">
        <v>7.0</v>
      </c>
      <c r="H356" s="32">
        <v>42.0</v>
      </c>
      <c r="I356" s="34">
        <v>28.0</v>
      </c>
      <c r="J356" s="36">
        <v>0.4286</v>
      </c>
      <c r="K356" s="36">
        <v>0.2381</v>
      </c>
      <c r="L356" s="37">
        <v>0.3333</v>
      </c>
      <c r="M356" s="110"/>
      <c r="N356" s="108">
        <v>0.6667</v>
      </c>
      <c r="O356" s="34">
        <v>3.0</v>
      </c>
      <c r="P356" s="32">
        <v>2.0</v>
      </c>
      <c r="Q356" s="37">
        <v>0.6667</v>
      </c>
      <c r="R356" s="107">
        <v>0.6429</v>
      </c>
      <c r="S356" s="42"/>
      <c r="T356" s="43"/>
      <c r="U356" s="44"/>
      <c r="V356" s="44"/>
      <c r="W356" s="15"/>
      <c r="X356" s="15"/>
    </row>
    <row r="357">
      <c r="A357" s="27" t="s">
        <v>536</v>
      </c>
      <c r="B357" s="31" t="s">
        <v>796</v>
      </c>
      <c r="C357" s="31" t="s">
        <v>26</v>
      </c>
      <c r="D357" s="32">
        <v>16.0</v>
      </c>
      <c r="E357" s="34">
        <v>2.0</v>
      </c>
      <c r="F357" s="32">
        <v>5.0</v>
      </c>
      <c r="G357" s="32">
        <v>9.0</v>
      </c>
      <c r="H357" s="32">
        <v>9.0</v>
      </c>
      <c r="I357" s="34">
        <v>2.0</v>
      </c>
      <c r="J357" s="36">
        <v>0.125</v>
      </c>
      <c r="K357" s="36">
        <v>0.3125</v>
      </c>
      <c r="L357" s="37">
        <v>0.5625</v>
      </c>
      <c r="M357" s="110"/>
      <c r="N357" s="108">
        <v>0.2222</v>
      </c>
      <c r="O357" s="34">
        <v>1.29</v>
      </c>
      <c r="P357" s="32">
        <v>0.56</v>
      </c>
      <c r="Q357" s="37">
        <v>0.4375</v>
      </c>
      <c r="R357" s="107">
        <v>0.2857</v>
      </c>
      <c r="S357" s="42"/>
      <c r="T357" s="43"/>
      <c r="U357" s="44"/>
      <c r="V357" s="44"/>
      <c r="W357" s="15"/>
      <c r="X357" s="15"/>
    </row>
    <row r="358">
      <c r="A358" s="27" t="s">
        <v>252</v>
      </c>
      <c r="B358" s="31" t="s">
        <v>797</v>
      </c>
      <c r="C358" s="31" t="s">
        <v>26</v>
      </c>
      <c r="D358" s="32">
        <v>107.0</v>
      </c>
      <c r="E358" s="34">
        <v>37.0</v>
      </c>
      <c r="F358" s="32">
        <v>39.0</v>
      </c>
      <c r="G358" s="32">
        <v>31.0</v>
      </c>
      <c r="H358" s="32">
        <v>142.0</v>
      </c>
      <c r="I358" s="34">
        <v>66.0</v>
      </c>
      <c r="J358" s="36">
        <v>0.3458</v>
      </c>
      <c r="K358" s="36">
        <v>0.3645</v>
      </c>
      <c r="L358" s="37">
        <v>0.2897</v>
      </c>
      <c r="M358" s="110"/>
      <c r="N358" s="108">
        <v>0.4648</v>
      </c>
      <c r="O358" s="34">
        <v>1.87</v>
      </c>
      <c r="P358" s="32">
        <v>1.33</v>
      </c>
      <c r="Q358" s="37">
        <v>0.7103</v>
      </c>
      <c r="R358" s="107">
        <v>0.4868</v>
      </c>
      <c r="S358" s="42"/>
      <c r="T358" s="43"/>
      <c r="U358" s="44"/>
      <c r="V358" s="44"/>
      <c r="W358" s="15"/>
      <c r="X358" s="15"/>
    </row>
    <row r="359">
      <c r="A359" s="27" t="s">
        <v>416</v>
      </c>
      <c r="B359" s="31" t="s">
        <v>798</v>
      </c>
      <c r="C359" s="31" t="s">
        <v>124</v>
      </c>
      <c r="D359" s="32">
        <v>224.0</v>
      </c>
      <c r="E359" s="34">
        <v>88.0</v>
      </c>
      <c r="F359" s="32">
        <v>74.0</v>
      </c>
      <c r="G359" s="32">
        <v>62.0</v>
      </c>
      <c r="H359" s="32">
        <v>599.0</v>
      </c>
      <c r="I359" s="34">
        <v>437.0</v>
      </c>
      <c r="J359" s="36">
        <v>0.3929</v>
      </c>
      <c r="K359" s="36">
        <v>0.3304</v>
      </c>
      <c r="L359" s="37">
        <v>0.2768</v>
      </c>
      <c r="M359" s="110"/>
      <c r="N359" s="108">
        <v>0.7295</v>
      </c>
      <c r="O359" s="34">
        <v>3.7</v>
      </c>
      <c r="P359" s="32">
        <v>2.67</v>
      </c>
      <c r="Q359" s="37">
        <v>0.7232</v>
      </c>
      <c r="R359" s="107">
        <v>0.5432</v>
      </c>
      <c r="S359" s="42"/>
      <c r="T359" s="43"/>
      <c r="U359" s="44"/>
      <c r="V359" s="44"/>
      <c r="W359" s="15"/>
      <c r="X359" s="15"/>
    </row>
    <row r="360">
      <c r="A360" s="27" t="s">
        <v>229</v>
      </c>
      <c r="B360" s="31" t="s">
        <v>799</v>
      </c>
      <c r="C360" s="31" t="s">
        <v>98</v>
      </c>
      <c r="D360" s="32">
        <v>126.0</v>
      </c>
      <c r="E360" s="34">
        <v>19.0</v>
      </c>
      <c r="F360" s="32">
        <v>41.0</v>
      </c>
      <c r="G360" s="32">
        <v>66.0</v>
      </c>
      <c r="H360" s="32">
        <v>145.0</v>
      </c>
      <c r="I360" s="34">
        <v>85.0</v>
      </c>
      <c r="J360" s="36">
        <v>0.1508</v>
      </c>
      <c r="K360" s="36">
        <v>0.3254</v>
      </c>
      <c r="L360" s="37">
        <v>0.5238</v>
      </c>
      <c r="M360" s="110"/>
      <c r="N360" s="108">
        <v>0.5862</v>
      </c>
      <c r="O360" s="34">
        <v>2.42</v>
      </c>
      <c r="P360" s="32">
        <v>1.15</v>
      </c>
      <c r="Q360" s="37">
        <v>0.4762</v>
      </c>
      <c r="R360" s="107">
        <v>0.3167</v>
      </c>
      <c r="S360" s="42"/>
      <c r="T360" s="43"/>
      <c r="U360" s="44"/>
      <c r="V360" s="44"/>
      <c r="W360" s="15"/>
      <c r="X360" s="15"/>
    </row>
    <row r="361">
      <c r="A361" s="27" t="s">
        <v>281</v>
      </c>
      <c r="B361" s="31" t="s">
        <v>800</v>
      </c>
      <c r="C361" s="31" t="s">
        <v>98</v>
      </c>
      <c r="D361" s="32">
        <v>15.0</v>
      </c>
      <c r="E361" s="34">
        <v>5.0</v>
      </c>
      <c r="F361" s="32">
        <v>6.0</v>
      </c>
      <c r="G361" s="32">
        <v>4.0</v>
      </c>
      <c r="H361" s="32">
        <v>18.0</v>
      </c>
      <c r="I361" s="34">
        <v>7.0</v>
      </c>
      <c r="J361" s="36">
        <v>0.3333</v>
      </c>
      <c r="K361" s="36">
        <v>0.4</v>
      </c>
      <c r="L361" s="37">
        <v>0.2667</v>
      </c>
      <c r="M361" s="110"/>
      <c r="N361" s="108">
        <v>0.3889</v>
      </c>
      <c r="O361" s="34">
        <v>1.64</v>
      </c>
      <c r="P361" s="32">
        <v>1.2</v>
      </c>
      <c r="Q361" s="37">
        <v>0.7333</v>
      </c>
      <c r="R361" s="107">
        <v>0.4545</v>
      </c>
      <c r="S361" s="42"/>
      <c r="T361" s="43"/>
      <c r="U361" s="44"/>
      <c r="V361" s="44"/>
      <c r="W361" s="15"/>
      <c r="X361" s="15"/>
    </row>
    <row r="362">
      <c r="A362" s="27" t="s">
        <v>293</v>
      </c>
      <c r="B362" s="31" t="s">
        <v>801</v>
      </c>
      <c r="C362" s="31" t="s">
        <v>33</v>
      </c>
      <c r="D362" s="32">
        <v>40.0</v>
      </c>
      <c r="E362" s="34">
        <v>2.0</v>
      </c>
      <c r="F362" s="32">
        <v>21.0</v>
      </c>
      <c r="G362" s="32">
        <v>17.0</v>
      </c>
      <c r="H362" s="32">
        <v>27.0</v>
      </c>
      <c r="I362" s="34">
        <v>4.0</v>
      </c>
      <c r="J362" s="36">
        <v>0.05</v>
      </c>
      <c r="K362" s="36">
        <v>0.525</v>
      </c>
      <c r="L362" s="37">
        <v>0.425</v>
      </c>
      <c r="M362" s="110"/>
      <c r="N362" s="108">
        <v>0.1481</v>
      </c>
      <c r="O362" s="34">
        <v>1.17</v>
      </c>
      <c r="P362" s="32">
        <v>0.68</v>
      </c>
      <c r="Q362" s="37">
        <v>0.575</v>
      </c>
      <c r="R362" s="107">
        <v>0.087</v>
      </c>
      <c r="S362" s="42"/>
      <c r="T362" s="43"/>
      <c r="U362" s="44"/>
      <c r="V362" s="44"/>
      <c r="W362" s="15"/>
      <c r="X362" s="15"/>
    </row>
    <row r="363">
      <c r="A363" s="27" t="s">
        <v>486</v>
      </c>
      <c r="B363" s="31" t="s">
        <v>802</v>
      </c>
      <c r="C363" s="31" t="s">
        <v>42</v>
      </c>
      <c r="D363" s="32">
        <v>88.0</v>
      </c>
      <c r="E363" s="34">
        <v>56.0</v>
      </c>
      <c r="F363" s="32">
        <v>31.0</v>
      </c>
      <c r="G363" s="32">
        <v>1.0</v>
      </c>
      <c r="H363" s="32">
        <v>188.0</v>
      </c>
      <c r="I363" s="34">
        <v>101.0</v>
      </c>
      <c r="J363" s="36">
        <v>0.6364</v>
      </c>
      <c r="K363" s="36">
        <v>0.3523</v>
      </c>
      <c r="L363" s="37">
        <v>0.0114</v>
      </c>
      <c r="M363" s="110"/>
      <c r="N363" s="108">
        <v>0.5372</v>
      </c>
      <c r="O363" s="34">
        <v>2.16</v>
      </c>
      <c r="P363" s="32">
        <v>2.14</v>
      </c>
      <c r="Q363" s="37">
        <v>0.9886</v>
      </c>
      <c r="R363" s="107">
        <v>0.6437</v>
      </c>
      <c r="S363" s="42"/>
      <c r="T363" s="43"/>
      <c r="U363" s="44"/>
      <c r="V363" s="44"/>
      <c r="W363" s="15"/>
      <c r="X363" s="15"/>
    </row>
    <row r="364">
      <c r="A364" s="27" t="s">
        <v>128</v>
      </c>
      <c r="B364" s="31" t="s">
        <v>803</v>
      </c>
      <c r="C364" s="31" t="s">
        <v>55</v>
      </c>
      <c r="D364" s="32">
        <v>12.0</v>
      </c>
      <c r="E364" s="34">
        <v>2.0</v>
      </c>
      <c r="F364" s="32">
        <v>3.0</v>
      </c>
      <c r="G364" s="32">
        <v>7.0</v>
      </c>
      <c r="H364" s="32">
        <v>8.0</v>
      </c>
      <c r="I364" s="34">
        <v>3.0</v>
      </c>
      <c r="J364" s="36">
        <v>0.1667</v>
      </c>
      <c r="K364" s="36">
        <v>0.25</v>
      </c>
      <c r="L364" s="37">
        <v>0.5833</v>
      </c>
      <c r="M364" s="110"/>
      <c r="N364" s="108">
        <v>0.375</v>
      </c>
      <c r="O364" s="34">
        <v>1.6</v>
      </c>
      <c r="P364" s="32">
        <v>0.67</v>
      </c>
      <c r="Q364" s="37">
        <v>0.4167</v>
      </c>
      <c r="R364" s="107">
        <v>0.4</v>
      </c>
      <c r="S364" s="42"/>
      <c r="T364" s="43"/>
      <c r="U364" s="44"/>
      <c r="V364" s="44"/>
      <c r="W364" s="15"/>
      <c r="X364" s="15"/>
    </row>
    <row r="365">
      <c r="A365" s="27" t="s">
        <v>561</v>
      </c>
      <c r="B365" s="31" t="s">
        <v>804</v>
      </c>
      <c r="C365" s="31" t="s">
        <v>31</v>
      </c>
      <c r="D365" s="32">
        <v>64.0</v>
      </c>
      <c r="E365" s="34">
        <v>13.0</v>
      </c>
      <c r="F365" s="32">
        <v>36.0</v>
      </c>
      <c r="G365" s="32">
        <v>15.0</v>
      </c>
      <c r="H365" s="32">
        <v>69.0</v>
      </c>
      <c r="I365" s="34">
        <v>20.0</v>
      </c>
      <c r="J365" s="36">
        <v>0.2031</v>
      </c>
      <c r="K365" s="36">
        <v>0.5625</v>
      </c>
      <c r="L365" s="37">
        <v>0.2344</v>
      </c>
      <c r="M365" s="110"/>
      <c r="N365" s="108">
        <v>0.2899</v>
      </c>
      <c r="O365" s="34">
        <v>1.41</v>
      </c>
      <c r="P365" s="32">
        <v>1.08</v>
      </c>
      <c r="Q365" s="37">
        <v>0.7656</v>
      </c>
      <c r="R365" s="107">
        <v>0.2653</v>
      </c>
      <c r="S365" s="42"/>
      <c r="T365" s="43"/>
      <c r="U365" s="44"/>
      <c r="V365" s="44"/>
      <c r="W365" s="15"/>
      <c r="X365" s="15"/>
    </row>
    <row r="366">
      <c r="A366" s="27" t="s">
        <v>323</v>
      </c>
      <c r="B366" s="31" t="s">
        <v>805</v>
      </c>
      <c r="C366" s="31" t="s">
        <v>98</v>
      </c>
      <c r="D366" s="32">
        <v>47.0</v>
      </c>
      <c r="E366" s="34">
        <v>27.0</v>
      </c>
      <c r="F366" s="32">
        <v>18.0</v>
      </c>
      <c r="G366" s="32">
        <v>2.0</v>
      </c>
      <c r="H366" s="32">
        <v>122.0</v>
      </c>
      <c r="I366" s="34">
        <v>77.0</v>
      </c>
      <c r="J366" s="36">
        <v>0.5745</v>
      </c>
      <c r="K366" s="36">
        <v>0.383</v>
      </c>
      <c r="L366" s="37">
        <v>0.0426</v>
      </c>
      <c r="M366" s="110"/>
      <c r="N366" s="108">
        <v>0.6311</v>
      </c>
      <c r="O366" s="34">
        <v>2.71</v>
      </c>
      <c r="P366" s="32">
        <v>2.6</v>
      </c>
      <c r="Q366" s="37">
        <v>0.9574</v>
      </c>
      <c r="R366" s="107">
        <v>0.6</v>
      </c>
      <c r="S366" s="42"/>
      <c r="T366" s="43"/>
      <c r="U366" s="44"/>
      <c r="V366" s="44"/>
      <c r="W366" s="15"/>
      <c r="X366" s="15"/>
    </row>
    <row r="367">
      <c r="A367" s="27" t="s">
        <v>595</v>
      </c>
      <c r="B367" s="31" t="s">
        <v>806</v>
      </c>
      <c r="C367" s="31" t="s">
        <v>42</v>
      </c>
      <c r="D367" s="32">
        <v>52.0</v>
      </c>
      <c r="E367" s="34">
        <v>22.0</v>
      </c>
      <c r="F367" s="32">
        <v>23.0</v>
      </c>
      <c r="G367" s="32">
        <v>7.0</v>
      </c>
      <c r="H367" s="32">
        <v>108.0</v>
      </c>
      <c r="I367" s="34">
        <v>63.0</v>
      </c>
      <c r="J367" s="36">
        <v>0.4231</v>
      </c>
      <c r="K367" s="36">
        <v>0.4423</v>
      </c>
      <c r="L367" s="37">
        <v>0.1346</v>
      </c>
      <c r="M367" s="110"/>
      <c r="N367" s="108">
        <v>0.5833</v>
      </c>
      <c r="O367" s="34">
        <v>2.4</v>
      </c>
      <c r="P367" s="32">
        <v>2.08</v>
      </c>
      <c r="Q367" s="37">
        <v>0.8654</v>
      </c>
      <c r="R367" s="107">
        <v>0.4889</v>
      </c>
      <c r="S367" s="42"/>
      <c r="T367" s="43"/>
      <c r="U367" s="44"/>
      <c r="V367" s="44"/>
      <c r="W367" s="15"/>
      <c r="X367" s="15"/>
    </row>
    <row r="368">
      <c r="A368" s="27" t="s">
        <v>490</v>
      </c>
      <c r="B368" s="31" t="s">
        <v>807</v>
      </c>
      <c r="C368" s="31" t="s">
        <v>42</v>
      </c>
      <c r="D368" s="32">
        <v>74.0</v>
      </c>
      <c r="E368" s="34">
        <v>50.0</v>
      </c>
      <c r="F368" s="32">
        <v>17.0</v>
      </c>
      <c r="G368" s="32">
        <v>7.0</v>
      </c>
      <c r="H368" s="32">
        <v>182.0</v>
      </c>
      <c r="I368" s="34">
        <v>115.0</v>
      </c>
      <c r="J368" s="36">
        <v>0.6757</v>
      </c>
      <c r="K368" s="36">
        <v>0.2297</v>
      </c>
      <c r="L368" s="37">
        <v>0.0946</v>
      </c>
      <c r="M368" s="110"/>
      <c r="N368" s="108">
        <v>0.6319</v>
      </c>
      <c r="O368" s="34">
        <v>2.72</v>
      </c>
      <c r="P368" s="32">
        <v>2.46</v>
      </c>
      <c r="Q368" s="37">
        <v>0.9054</v>
      </c>
      <c r="R368" s="107">
        <v>0.7463</v>
      </c>
      <c r="S368" s="42"/>
      <c r="T368" s="43"/>
      <c r="U368" s="44"/>
      <c r="V368" s="44"/>
      <c r="W368" s="15"/>
      <c r="X368" s="15"/>
    </row>
    <row r="369">
      <c r="A369" s="27" t="s">
        <v>297</v>
      </c>
      <c r="B369" s="31" t="s">
        <v>808</v>
      </c>
      <c r="C369" s="31" t="s">
        <v>55</v>
      </c>
      <c r="D369" s="32">
        <v>36.0</v>
      </c>
      <c r="E369" s="34">
        <v>1.0</v>
      </c>
      <c r="F369" s="32">
        <v>21.0</v>
      </c>
      <c r="G369" s="32">
        <v>14.0</v>
      </c>
      <c r="H369" s="32">
        <v>24.0</v>
      </c>
      <c r="I369" s="34">
        <v>2.0</v>
      </c>
      <c r="J369" s="36">
        <v>0.0278</v>
      </c>
      <c r="K369" s="36">
        <v>0.5833</v>
      </c>
      <c r="L369" s="37">
        <v>0.3889</v>
      </c>
      <c r="M369" s="110"/>
      <c r="N369" s="108">
        <v>0.0833</v>
      </c>
      <c r="O369" s="34">
        <v>1.09</v>
      </c>
      <c r="P369" s="32">
        <v>0.67</v>
      </c>
      <c r="Q369" s="37">
        <v>0.6111</v>
      </c>
      <c r="R369" s="107">
        <v>0.0455</v>
      </c>
      <c r="S369" s="42"/>
      <c r="T369" s="43"/>
      <c r="U369" s="44"/>
      <c r="V369" s="44"/>
      <c r="W369" s="15"/>
      <c r="X369" s="15"/>
    </row>
    <row r="370">
      <c r="A370" s="27" t="s">
        <v>244</v>
      </c>
      <c r="B370" s="31" t="s">
        <v>809</v>
      </c>
      <c r="C370" s="31" t="s">
        <v>33</v>
      </c>
      <c r="D370" s="32">
        <v>262.0</v>
      </c>
      <c r="E370" s="34">
        <v>83.0</v>
      </c>
      <c r="F370" s="32">
        <v>101.0</v>
      </c>
      <c r="G370" s="32">
        <v>78.0</v>
      </c>
      <c r="H370" s="32">
        <v>327.0</v>
      </c>
      <c r="I370" s="34">
        <v>143.0</v>
      </c>
      <c r="J370" s="36">
        <v>0.3168</v>
      </c>
      <c r="K370" s="36">
        <v>0.3855</v>
      </c>
      <c r="L370" s="37">
        <v>0.2977</v>
      </c>
      <c r="M370" s="110"/>
      <c r="N370" s="108">
        <v>0.4373</v>
      </c>
      <c r="O370" s="34">
        <v>1.78</v>
      </c>
      <c r="P370" s="32">
        <v>1.25</v>
      </c>
      <c r="Q370" s="37">
        <v>0.7023</v>
      </c>
      <c r="R370" s="107">
        <v>0.4511</v>
      </c>
      <c r="S370" s="42"/>
      <c r="T370" s="43"/>
      <c r="U370" s="44"/>
      <c r="V370" s="44"/>
      <c r="W370" s="15"/>
      <c r="X370" s="15"/>
    </row>
    <row r="371">
      <c r="A371" s="27" t="s">
        <v>601</v>
      </c>
      <c r="B371" s="31" t="s">
        <v>810</v>
      </c>
      <c r="C371" s="31" t="s">
        <v>33</v>
      </c>
      <c r="D371" s="32">
        <v>14.0</v>
      </c>
      <c r="E371" s="34">
        <v>0.0</v>
      </c>
      <c r="F371" s="32">
        <v>9.0</v>
      </c>
      <c r="G371" s="32">
        <v>5.0</v>
      </c>
      <c r="H371" s="32">
        <v>9.0</v>
      </c>
      <c r="I371" s="34">
        <v>0.0</v>
      </c>
      <c r="J371" s="36">
        <v>0.0</v>
      </c>
      <c r="K371" s="36">
        <v>0.6429</v>
      </c>
      <c r="L371" s="37">
        <v>0.3571</v>
      </c>
      <c r="M371" s="110"/>
      <c r="N371" s="108">
        <v>0.0</v>
      </c>
      <c r="O371" s="34">
        <v>1.0</v>
      </c>
      <c r="P371" s="32">
        <v>0.64</v>
      </c>
      <c r="Q371" s="37">
        <v>0.6429</v>
      </c>
      <c r="R371" s="107">
        <v>0.0</v>
      </c>
      <c r="S371" s="42"/>
      <c r="T371" s="43"/>
      <c r="U371" s="44"/>
      <c r="V371" s="44"/>
      <c r="W371" s="15"/>
      <c r="X371" s="15"/>
    </row>
    <row r="372">
      <c r="A372" s="27" t="s">
        <v>565</v>
      </c>
      <c r="B372" s="31" t="s">
        <v>811</v>
      </c>
      <c r="C372" s="31" t="s">
        <v>31</v>
      </c>
      <c r="D372" s="32">
        <v>161.0</v>
      </c>
      <c r="E372" s="34">
        <v>56.0</v>
      </c>
      <c r="F372" s="32">
        <v>56.0</v>
      </c>
      <c r="G372" s="32">
        <v>49.0</v>
      </c>
      <c r="H372" s="32">
        <v>318.0</v>
      </c>
      <c r="I372" s="34">
        <v>206.0</v>
      </c>
      <c r="J372" s="36">
        <v>0.3478</v>
      </c>
      <c r="K372" s="36">
        <v>0.3478</v>
      </c>
      <c r="L372" s="37">
        <v>0.3043</v>
      </c>
      <c r="M372" s="110"/>
      <c r="N372" s="108">
        <v>0.6478</v>
      </c>
      <c r="O372" s="34">
        <v>2.84</v>
      </c>
      <c r="P372" s="32">
        <v>1.98</v>
      </c>
      <c r="Q372" s="37">
        <v>0.6957</v>
      </c>
      <c r="R372" s="107">
        <v>0.5</v>
      </c>
      <c r="S372" s="42"/>
      <c r="T372" s="43"/>
      <c r="U372" s="44"/>
      <c r="V372" s="44"/>
      <c r="W372" s="15"/>
      <c r="X372" s="15"/>
    </row>
    <row r="373">
      <c r="A373" s="27" t="s">
        <v>555</v>
      </c>
      <c r="B373" s="31" t="s">
        <v>812</v>
      </c>
      <c r="C373" s="31" t="s">
        <v>42</v>
      </c>
      <c r="D373" s="32">
        <v>9.0</v>
      </c>
      <c r="E373" s="34">
        <v>2.0</v>
      </c>
      <c r="F373" s="32">
        <v>2.0</v>
      </c>
      <c r="G373" s="32">
        <v>5.0</v>
      </c>
      <c r="H373" s="32">
        <v>6.0</v>
      </c>
      <c r="I373" s="34">
        <v>2.0</v>
      </c>
      <c r="J373" s="36">
        <v>0.2222</v>
      </c>
      <c r="K373" s="36">
        <v>0.2222</v>
      </c>
      <c r="L373" s="37">
        <v>0.5556</v>
      </c>
      <c r="M373" s="110"/>
      <c r="N373" s="108">
        <v>0.3333</v>
      </c>
      <c r="O373" s="34">
        <v>1.5</v>
      </c>
      <c r="P373" s="32">
        <v>0.67</v>
      </c>
      <c r="Q373" s="37">
        <v>0.4444</v>
      </c>
      <c r="R373" s="107">
        <v>0.5</v>
      </c>
      <c r="S373" s="42"/>
      <c r="T373" s="43"/>
      <c r="U373" s="44"/>
      <c r="V373" s="44"/>
      <c r="W373" s="15"/>
      <c r="X373" s="15"/>
    </row>
    <row r="374">
      <c r="A374" s="27" t="s">
        <v>408</v>
      </c>
      <c r="B374" s="31" t="s">
        <v>813</v>
      </c>
      <c r="C374" s="31" t="s">
        <v>42</v>
      </c>
      <c r="D374" s="32">
        <v>9.0</v>
      </c>
      <c r="E374" s="34">
        <v>1.0</v>
      </c>
      <c r="F374" s="32">
        <v>6.0</v>
      </c>
      <c r="G374" s="32">
        <v>2.0</v>
      </c>
      <c r="H374" s="32">
        <v>8.0</v>
      </c>
      <c r="I374" s="34">
        <v>1.0</v>
      </c>
      <c r="J374" s="36">
        <v>0.1111</v>
      </c>
      <c r="K374" s="36">
        <v>0.6667</v>
      </c>
      <c r="L374" s="37">
        <v>0.2222</v>
      </c>
      <c r="M374" s="110"/>
      <c r="N374" s="108">
        <v>0.125</v>
      </c>
      <c r="O374" s="34">
        <v>1.14</v>
      </c>
      <c r="P374" s="32">
        <v>0.89</v>
      </c>
      <c r="Q374" s="37">
        <v>0.7778</v>
      </c>
      <c r="R374" s="107">
        <v>0.1429</v>
      </c>
      <c r="S374" s="42"/>
      <c r="T374" s="43"/>
      <c r="U374" s="44"/>
      <c r="V374" s="44"/>
      <c r="W374" s="15"/>
      <c r="X374" s="15"/>
    </row>
    <row r="375">
      <c r="A375" s="27" t="s">
        <v>263</v>
      </c>
      <c r="B375" s="31" t="s">
        <v>814</v>
      </c>
      <c r="C375" s="31" t="s">
        <v>33</v>
      </c>
      <c r="D375" s="32">
        <v>408.0</v>
      </c>
      <c r="E375" s="34">
        <v>122.0</v>
      </c>
      <c r="F375" s="32">
        <v>116.0</v>
      </c>
      <c r="G375" s="32">
        <v>170.0</v>
      </c>
      <c r="H375" s="32">
        <v>647.0</v>
      </c>
      <c r="I375" s="34">
        <v>409.0</v>
      </c>
      <c r="J375" s="36">
        <v>0.299</v>
      </c>
      <c r="K375" s="36">
        <v>0.2843</v>
      </c>
      <c r="L375" s="37">
        <v>0.4167</v>
      </c>
      <c r="M375" s="110"/>
      <c r="N375" s="108">
        <v>0.6321</v>
      </c>
      <c r="O375" s="34">
        <v>2.72</v>
      </c>
      <c r="P375" s="32">
        <v>1.59</v>
      </c>
      <c r="Q375" s="37">
        <v>0.5833</v>
      </c>
      <c r="R375" s="107">
        <v>0.5126</v>
      </c>
      <c r="S375" s="42"/>
      <c r="T375" s="43"/>
      <c r="U375" s="44"/>
      <c r="V375" s="44"/>
      <c r="W375" s="15"/>
      <c r="X375" s="15"/>
    </row>
    <row r="376">
      <c r="A376" s="27" t="s">
        <v>624</v>
      </c>
      <c r="B376" s="31" t="s">
        <v>815</v>
      </c>
      <c r="C376" s="31" t="s">
        <v>31</v>
      </c>
      <c r="D376" s="32">
        <v>114.0</v>
      </c>
      <c r="E376" s="34">
        <v>9.0</v>
      </c>
      <c r="F376" s="32">
        <v>19.0</v>
      </c>
      <c r="G376" s="32">
        <v>86.0</v>
      </c>
      <c r="H376" s="32">
        <v>92.0</v>
      </c>
      <c r="I376" s="34">
        <v>64.0</v>
      </c>
      <c r="J376" s="36">
        <v>0.0789</v>
      </c>
      <c r="K376" s="36">
        <v>0.1667</v>
      </c>
      <c r="L376" s="37">
        <v>0.7544</v>
      </c>
      <c r="M376" s="110"/>
      <c r="N376" s="108">
        <v>0.6957</v>
      </c>
      <c r="O376" s="34">
        <v>3.29</v>
      </c>
      <c r="P376" s="32">
        <v>0.81</v>
      </c>
      <c r="Q376" s="37">
        <v>0.2456</v>
      </c>
      <c r="R376" s="107">
        <v>0.3214</v>
      </c>
      <c r="S376" s="42"/>
      <c r="T376" s="43"/>
      <c r="U376" s="44"/>
      <c r="V376" s="44"/>
      <c r="W376" s="15"/>
      <c r="X376" s="15"/>
    </row>
    <row r="377">
      <c r="A377" s="27" t="s">
        <v>312</v>
      </c>
      <c r="B377" s="31" t="s">
        <v>816</v>
      </c>
      <c r="C377" s="31" t="s">
        <v>46</v>
      </c>
      <c r="D377" s="32">
        <v>45.0</v>
      </c>
      <c r="E377" s="34">
        <v>14.0</v>
      </c>
      <c r="F377" s="32">
        <v>21.0</v>
      </c>
      <c r="G377" s="32">
        <v>10.0</v>
      </c>
      <c r="H377" s="32">
        <v>62.0</v>
      </c>
      <c r="I377" s="34">
        <v>27.0</v>
      </c>
      <c r="J377" s="36">
        <v>0.3111</v>
      </c>
      <c r="K377" s="36">
        <v>0.4667</v>
      </c>
      <c r="L377" s="37">
        <v>0.2222</v>
      </c>
      <c r="M377" s="110"/>
      <c r="N377" s="108">
        <v>0.4355</v>
      </c>
      <c r="O377" s="34">
        <v>1.77</v>
      </c>
      <c r="P377" s="32">
        <v>1.38</v>
      </c>
      <c r="Q377" s="37">
        <v>0.7778</v>
      </c>
      <c r="R377" s="107">
        <v>0.4</v>
      </c>
      <c r="S377" s="42"/>
      <c r="T377" s="43"/>
      <c r="U377" s="44"/>
      <c r="V377" s="44"/>
      <c r="W377" s="15"/>
      <c r="X377" s="15"/>
    </row>
    <row r="378">
      <c r="A378" s="27" t="s">
        <v>571</v>
      </c>
      <c r="B378" s="31" t="s">
        <v>817</v>
      </c>
      <c r="C378" s="31" t="s">
        <v>55</v>
      </c>
      <c r="D378" s="32">
        <v>68.0</v>
      </c>
      <c r="E378" s="34">
        <v>13.0</v>
      </c>
      <c r="F378" s="32">
        <v>24.0</v>
      </c>
      <c r="G378" s="32">
        <v>31.0</v>
      </c>
      <c r="H378" s="32">
        <v>67.0</v>
      </c>
      <c r="I378" s="34">
        <v>30.0</v>
      </c>
      <c r="J378" s="36">
        <v>0.1912</v>
      </c>
      <c r="K378" s="36">
        <v>0.3529</v>
      </c>
      <c r="L378" s="37">
        <v>0.4559</v>
      </c>
      <c r="M378" s="110"/>
      <c r="N378" s="108">
        <v>0.4478</v>
      </c>
      <c r="O378" s="34">
        <v>1.81</v>
      </c>
      <c r="P378" s="32">
        <v>0.99</v>
      </c>
      <c r="Q378" s="37">
        <v>0.5441</v>
      </c>
      <c r="R378" s="107">
        <v>0.3514</v>
      </c>
      <c r="S378" s="42"/>
      <c r="T378" s="43"/>
      <c r="U378" s="44"/>
      <c r="V378" s="44"/>
      <c r="W378" s="15"/>
      <c r="X378" s="15"/>
    </row>
    <row r="379">
      <c r="A379" s="27" t="s">
        <v>274</v>
      </c>
      <c r="B379" s="31" t="s">
        <v>818</v>
      </c>
      <c r="C379" s="31" t="s">
        <v>124</v>
      </c>
      <c r="D379" s="32">
        <v>18.0</v>
      </c>
      <c r="E379" s="34">
        <v>10.0</v>
      </c>
      <c r="F379" s="32">
        <v>6.0</v>
      </c>
      <c r="G379" s="32">
        <v>2.0</v>
      </c>
      <c r="H379" s="32">
        <v>146.0</v>
      </c>
      <c r="I379" s="34">
        <v>130.0</v>
      </c>
      <c r="J379" s="36">
        <v>0.5556</v>
      </c>
      <c r="K379" s="36">
        <v>0.3333</v>
      </c>
      <c r="L379" s="37">
        <v>0.1111</v>
      </c>
      <c r="M379" s="110"/>
      <c r="N379" s="108">
        <v>0.8904</v>
      </c>
      <c r="O379" s="34">
        <v>9.13</v>
      </c>
      <c r="P379" s="32">
        <v>8.11</v>
      </c>
      <c r="Q379" s="37">
        <v>0.8889</v>
      </c>
      <c r="R379" s="107">
        <v>0.625</v>
      </c>
      <c r="S379" s="42"/>
      <c r="T379" s="43"/>
      <c r="U379" s="44"/>
      <c r="V379" s="44"/>
      <c r="W379" s="15"/>
      <c r="X379" s="15"/>
    </row>
    <row r="380">
      <c r="A380" s="27" t="s">
        <v>298</v>
      </c>
      <c r="B380" s="31" t="s">
        <v>819</v>
      </c>
      <c r="C380" s="31" t="s">
        <v>26</v>
      </c>
      <c r="D380" s="32">
        <v>22.0</v>
      </c>
      <c r="E380" s="34">
        <v>6.0</v>
      </c>
      <c r="F380" s="32">
        <v>7.0</v>
      </c>
      <c r="G380" s="32">
        <v>9.0</v>
      </c>
      <c r="H380" s="32">
        <v>29.0</v>
      </c>
      <c r="I380" s="34">
        <v>16.0</v>
      </c>
      <c r="J380" s="36">
        <v>0.2727</v>
      </c>
      <c r="K380" s="36">
        <v>0.3182</v>
      </c>
      <c r="L380" s="37">
        <v>0.4091</v>
      </c>
      <c r="M380" s="110"/>
      <c r="N380" s="108">
        <v>0.5517</v>
      </c>
      <c r="O380" s="34">
        <v>2.23</v>
      </c>
      <c r="P380" s="32">
        <v>1.32</v>
      </c>
      <c r="Q380" s="37">
        <v>0.5909</v>
      </c>
      <c r="R380" s="107">
        <v>0.4615</v>
      </c>
      <c r="S380" s="42"/>
      <c r="T380" s="43"/>
      <c r="U380" s="44"/>
      <c r="V380" s="44"/>
      <c r="W380" s="15"/>
      <c r="X380" s="15"/>
    </row>
    <row r="381">
      <c r="A381" s="27" t="s">
        <v>458</v>
      </c>
      <c r="B381" s="31" t="s">
        <v>820</v>
      </c>
      <c r="C381" s="31" t="s">
        <v>98</v>
      </c>
      <c r="D381" s="32">
        <v>44.0</v>
      </c>
      <c r="E381" s="34">
        <v>14.0</v>
      </c>
      <c r="F381" s="32">
        <v>20.0</v>
      </c>
      <c r="G381" s="32">
        <v>10.0</v>
      </c>
      <c r="H381" s="32">
        <v>67.0</v>
      </c>
      <c r="I381" s="34">
        <v>33.0</v>
      </c>
      <c r="J381" s="36">
        <v>0.3182</v>
      </c>
      <c r="K381" s="36">
        <v>0.4545</v>
      </c>
      <c r="L381" s="37">
        <v>0.2273</v>
      </c>
      <c r="M381" s="110"/>
      <c r="N381" s="108">
        <v>0.4925</v>
      </c>
      <c r="O381" s="34">
        <v>1.97</v>
      </c>
      <c r="P381" s="32">
        <v>1.52</v>
      </c>
      <c r="Q381" s="37">
        <v>0.7727</v>
      </c>
      <c r="R381" s="107">
        <v>0.4118</v>
      </c>
      <c r="S381" s="42"/>
      <c r="T381" s="43"/>
      <c r="U381" s="44"/>
      <c r="V381" s="44"/>
      <c r="W381" s="15"/>
      <c r="X381" s="15"/>
    </row>
    <row r="382">
      <c r="A382" s="27" t="s">
        <v>578</v>
      </c>
      <c r="B382" s="31" t="s">
        <v>821</v>
      </c>
      <c r="C382" s="31" t="s">
        <v>31</v>
      </c>
      <c r="D382" s="32">
        <v>21.0</v>
      </c>
      <c r="E382" s="34">
        <v>5.0</v>
      </c>
      <c r="F382" s="32">
        <v>12.0</v>
      </c>
      <c r="G382" s="32">
        <v>4.0</v>
      </c>
      <c r="H382" s="32">
        <v>30.0</v>
      </c>
      <c r="I382" s="34">
        <v>13.0</v>
      </c>
      <c r="J382" s="36">
        <v>0.2381</v>
      </c>
      <c r="K382" s="36">
        <v>0.5714</v>
      </c>
      <c r="L382" s="37">
        <v>0.1905</v>
      </c>
      <c r="M382" s="110"/>
      <c r="N382" s="108">
        <v>0.4333</v>
      </c>
      <c r="O382" s="34">
        <v>1.76</v>
      </c>
      <c r="P382" s="32">
        <v>1.43</v>
      </c>
      <c r="Q382" s="37">
        <v>0.8095</v>
      </c>
      <c r="R382" s="107">
        <v>0.2941</v>
      </c>
      <c r="S382" s="42"/>
      <c r="T382" s="43"/>
      <c r="U382" s="44"/>
      <c r="V382" s="44"/>
      <c r="W382" s="15"/>
      <c r="X382" s="15"/>
    </row>
    <row r="383">
      <c r="A383" s="27" t="s">
        <v>489</v>
      </c>
      <c r="B383" s="31" t="s">
        <v>822</v>
      </c>
      <c r="C383" s="31" t="s">
        <v>31</v>
      </c>
      <c r="D383" s="32">
        <v>62.0</v>
      </c>
      <c r="E383" s="34">
        <v>7.0</v>
      </c>
      <c r="F383" s="32">
        <v>9.0</v>
      </c>
      <c r="G383" s="32">
        <v>46.0</v>
      </c>
      <c r="H383" s="32">
        <v>24.0</v>
      </c>
      <c r="I383" s="34">
        <v>8.0</v>
      </c>
      <c r="J383" s="36">
        <v>0.1129</v>
      </c>
      <c r="K383" s="36">
        <v>0.1452</v>
      </c>
      <c r="L383" s="37">
        <v>0.7419</v>
      </c>
      <c r="M383" s="110"/>
      <c r="N383" s="108">
        <v>0.3333</v>
      </c>
      <c r="O383" s="34">
        <v>1.5</v>
      </c>
      <c r="P383" s="32">
        <v>0.39</v>
      </c>
      <c r="Q383" s="37">
        <v>0.2581</v>
      </c>
      <c r="R383" s="107">
        <v>0.4375</v>
      </c>
      <c r="S383" s="42"/>
      <c r="T383" s="43"/>
      <c r="U383" s="44"/>
      <c r="V383" s="44"/>
      <c r="W383" s="15"/>
      <c r="X383" s="15"/>
    </row>
    <row r="384">
      <c r="A384" s="27" t="s">
        <v>442</v>
      </c>
      <c r="B384" s="31" t="s">
        <v>823</v>
      </c>
      <c r="C384" s="31" t="s">
        <v>98</v>
      </c>
      <c r="D384" s="32">
        <v>47.0</v>
      </c>
      <c r="E384" s="34">
        <v>18.0</v>
      </c>
      <c r="F384" s="32">
        <v>20.0</v>
      </c>
      <c r="G384" s="32">
        <v>9.0</v>
      </c>
      <c r="H384" s="32">
        <v>104.0</v>
      </c>
      <c r="I384" s="34">
        <v>66.0</v>
      </c>
      <c r="J384" s="36">
        <v>0.383</v>
      </c>
      <c r="K384" s="36">
        <v>0.4255</v>
      </c>
      <c r="L384" s="37">
        <v>0.1915</v>
      </c>
      <c r="M384" s="110"/>
      <c r="N384" s="108">
        <v>0.6346</v>
      </c>
      <c r="O384" s="34">
        <v>2.74</v>
      </c>
      <c r="P384" s="32">
        <v>2.21</v>
      </c>
      <c r="Q384" s="37">
        <v>0.8085</v>
      </c>
      <c r="R384" s="107">
        <v>0.4737</v>
      </c>
      <c r="S384" s="42"/>
      <c r="T384" s="43"/>
      <c r="U384" s="44"/>
      <c r="V384" s="44"/>
      <c r="W384" s="15"/>
      <c r="X384" s="15"/>
    </row>
    <row r="385">
      <c r="A385" s="27" t="s">
        <v>469</v>
      </c>
      <c r="B385" s="31" t="s">
        <v>824</v>
      </c>
      <c r="C385" s="31" t="s">
        <v>42</v>
      </c>
      <c r="D385" s="32">
        <v>21.0</v>
      </c>
      <c r="E385" s="34">
        <v>8.0</v>
      </c>
      <c r="F385" s="32">
        <v>9.0</v>
      </c>
      <c r="G385" s="32">
        <v>4.0</v>
      </c>
      <c r="H385" s="32">
        <v>43.0</v>
      </c>
      <c r="I385" s="34">
        <v>26.0</v>
      </c>
      <c r="J385" s="36">
        <v>0.381</v>
      </c>
      <c r="K385" s="36">
        <v>0.4286</v>
      </c>
      <c r="L385" s="37">
        <v>0.1905</v>
      </c>
      <c r="M385" s="110"/>
      <c r="N385" s="108">
        <v>0.6047</v>
      </c>
      <c r="O385" s="34">
        <v>2.53</v>
      </c>
      <c r="P385" s="32">
        <v>2.05</v>
      </c>
      <c r="Q385" s="37">
        <v>0.8095</v>
      </c>
      <c r="R385" s="107">
        <v>0.4706</v>
      </c>
      <c r="S385" s="42"/>
      <c r="T385" s="43"/>
      <c r="U385" s="44"/>
      <c r="V385" s="44"/>
      <c r="W385" s="15"/>
      <c r="X385" s="15"/>
    </row>
    <row r="386">
      <c r="A386" s="27" t="s">
        <v>462</v>
      </c>
      <c r="B386" s="31" t="s">
        <v>825</v>
      </c>
      <c r="C386" s="31" t="s">
        <v>26</v>
      </c>
      <c r="D386" s="32">
        <v>523.0</v>
      </c>
      <c r="E386" s="34">
        <v>252.0</v>
      </c>
      <c r="F386" s="32">
        <v>144.0</v>
      </c>
      <c r="G386" s="32">
        <v>127.0</v>
      </c>
      <c r="H386" s="32">
        <v>830.0</v>
      </c>
      <c r="I386" s="34">
        <v>434.0</v>
      </c>
      <c r="J386" s="36">
        <v>0.4818</v>
      </c>
      <c r="K386" s="36">
        <v>0.2753</v>
      </c>
      <c r="L386" s="37">
        <v>0.2428</v>
      </c>
      <c r="M386" s="110"/>
      <c r="N386" s="108">
        <v>0.5229</v>
      </c>
      <c r="O386" s="34">
        <v>2.1</v>
      </c>
      <c r="P386" s="32">
        <v>1.59</v>
      </c>
      <c r="Q386" s="37">
        <v>0.7572</v>
      </c>
      <c r="R386" s="107">
        <v>0.6364</v>
      </c>
      <c r="S386" s="42"/>
      <c r="T386" s="43"/>
      <c r="U386" s="44"/>
      <c r="V386" s="44"/>
      <c r="W386" s="15"/>
      <c r="X386" s="15"/>
    </row>
    <row r="387">
      <c r="A387" s="27" t="s">
        <v>150</v>
      </c>
      <c r="B387" s="31" t="s">
        <v>826</v>
      </c>
      <c r="C387" s="31" t="s">
        <v>42</v>
      </c>
      <c r="D387" s="32">
        <v>113.0</v>
      </c>
      <c r="E387" s="34">
        <v>30.0</v>
      </c>
      <c r="F387" s="32">
        <v>69.0</v>
      </c>
      <c r="G387" s="32">
        <v>14.0</v>
      </c>
      <c r="H387" s="32">
        <v>187.0</v>
      </c>
      <c r="I387" s="34">
        <v>88.0</v>
      </c>
      <c r="J387" s="36">
        <v>0.2655</v>
      </c>
      <c r="K387" s="36">
        <v>0.6106</v>
      </c>
      <c r="L387" s="37">
        <v>0.1239</v>
      </c>
      <c r="M387" s="110"/>
      <c r="N387" s="108">
        <v>0.4706</v>
      </c>
      <c r="O387" s="34">
        <v>1.89</v>
      </c>
      <c r="P387" s="32">
        <v>1.65</v>
      </c>
      <c r="Q387" s="37">
        <v>0.8761</v>
      </c>
      <c r="R387" s="107">
        <v>0.303</v>
      </c>
      <c r="S387" s="42"/>
      <c r="T387" s="43"/>
      <c r="U387" s="44"/>
      <c r="V387" s="44"/>
      <c r="W387" s="15"/>
      <c r="X387" s="15"/>
    </row>
    <row r="388">
      <c r="A388" s="27" t="s">
        <v>402</v>
      </c>
      <c r="B388" s="31" t="s">
        <v>827</v>
      </c>
      <c r="C388" s="31" t="s">
        <v>98</v>
      </c>
      <c r="D388" s="32">
        <v>107.0</v>
      </c>
      <c r="E388" s="34">
        <v>38.0</v>
      </c>
      <c r="F388" s="32">
        <v>33.0</v>
      </c>
      <c r="G388" s="32">
        <v>36.0</v>
      </c>
      <c r="H388" s="32">
        <v>184.0</v>
      </c>
      <c r="I388" s="34">
        <v>113.0</v>
      </c>
      <c r="J388" s="36">
        <v>0.3551</v>
      </c>
      <c r="K388" s="36">
        <v>0.3084</v>
      </c>
      <c r="L388" s="37">
        <v>0.3364</v>
      </c>
      <c r="M388" s="110"/>
      <c r="N388" s="108">
        <v>0.6141</v>
      </c>
      <c r="O388" s="34">
        <v>2.59</v>
      </c>
      <c r="P388" s="32">
        <v>1.72</v>
      </c>
      <c r="Q388" s="37">
        <v>0.6636</v>
      </c>
      <c r="R388" s="107">
        <v>0.5352</v>
      </c>
      <c r="S388" s="42"/>
      <c r="T388" s="43"/>
      <c r="U388" s="44"/>
      <c r="V388" s="44"/>
      <c r="W388" s="15"/>
      <c r="X388" s="15"/>
    </row>
    <row r="389">
      <c r="A389" s="27" t="s">
        <v>316</v>
      </c>
      <c r="B389" s="31" t="s">
        <v>828</v>
      </c>
      <c r="C389" s="31" t="s">
        <v>26</v>
      </c>
      <c r="D389" s="32">
        <v>5.0</v>
      </c>
      <c r="E389" s="34">
        <v>0.0</v>
      </c>
      <c r="F389" s="32">
        <v>2.0</v>
      </c>
      <c r="G389" s="32">
        <v>3.0</v>
      </c>
      <c r="H389" s="32">
        <v>2.0</v>
      </c>
      <c r="I389" s="34">
        <v>0.0</v>
      </c>
      <c r="J389" s="36">
        <v>0.0</v>
      </c>
      <c r="K389" s="36">
        <v>0.4</v>
      </c>
      <c r="L389" s="37">
        <v>0.6</v>
      </c>
      <c r="M389" s="110"/>
      <c r="N389" s="108">
        <v>0.0</v>
      </c>
      <c r="O389" s="34">
        <v>1.0</v>
      </c>
      <c r="P389" s="32">
        <v>0.4</v>
      </c>
      <c r="Q389" s="37">
        <v>0.4</v>
      </c>
      <c r="R389" s="107">
        <v>0.0</v>
      </c>
      <c r="S389" s="42"/>
      <c r="T389" s="43"/>
      <c r="U389" s="44"/>
      <c r="V389" s="44"/>
      <c r="W389" s="15"/>
      <c r="X389" s="15"/>
    </row>
    <row r="390">
      <c r="A390" s="27" t="s">
        <v>413</v>
      </c>
      <c r="B390" s="31" t="s">
        <v>829</v>
      </c>
      <c r="C390" s="31" t="s">
        <v>31</v>
      </c>
      <c r="D390" s="32">
        <v>20.0</v>
      </c>
      <c r="E390" s="34">
        <v>3.0</v>
      </c>
      <c r="F390" s="32">
        <v>7.0</v>
      </c>
      <c r="G390" s="32">
        <v>10.0</v>
      </c>
      <c r="H390" s="32">
        <v>21.0</v>
      </c>
      <c r="I390" s="34">
        <v>11.0</v>
      </c>
      <c r="J390" s="36">
        <v>0.15</v>
      </c>
      <c r="K390" s="36">
        <v>0.35</v>
      </c>
      <c r="L390" s="37">
        <v>0.5</v>
      </c>
      <c r="M390" s="110"/>
      <c r="N390" s="108">
        <v>0.5238</v>
      </c>
      <c r="O390" s="34">
        <v>2.1</v>
      </c>
      <c r="P390" s="32">
        <v>1.05</v>
      </c>
      <c r="Q390" s="37">
        <v>0.5</v>
      </c>
      <c r="R390" s="107">
        <v>0.3</v>
      </c>
      <c r="S390" s="42"/>
      <c r="T390" s="43"/>
      <c r="U390" s="44"/>
      <c r="V390" s="44"/>
      <c r="W390" s="15"/>
      <c r="X390" s="15"/>
    </row>
    <row r="391">
      <c r="A391" s="27" t="s">
        <v>451</v>
      </c>
      <c r="B391" s="31" t="s">
        <v>830</v>
      </c>
      <c r="C391" s="31" t="s">
        <v>42</v>
      </c>
      <c r="D391" s="32">
        <v>0.0</v>
      </c>
      <c r="E391" s="34">
        <v>0.0</v>
      </c>
      <c r="F391" s="32">
        <v>0.0</v>
      </c>
      <c r="G391" s="32">
        <v>0.0</v>
      </c>
      <c r="H391" s="32">
        <v>0.0</v>
      </c>
      <c r="I391" s="34">
        <v>0.0</v>
      </c>
      <c r="J391" s="36">
        <v>0.0</v>
      </c>
      <c r="K391" s="36">
        <v>0.0</v>
      </c>
      <c r="L391" s="37">
        <v>0.0</v>
      </c>
      <c r="M391" s="110"/>
      <c r="N391" s="108">
        <v>0.0</v>
      </c>
      <c r="O391" s="34">
        <v>0.0</v>
      </c>
      <c r="P391" s="32">
        <v>0.0</v>
      </c>
      <c r="Q391" s="37">
        <v>0.0</v>
      </c>
      <c r="R391" s="107">
        <v>0.0</v>
      </c>
      <c r="S391" s="42"/>
      <c r="T391" s="43"/>
      <c r="U391" s="44"/>
      <c r="V391" s="44"/>
      <c r="W391" s="15"/>
      <c r="X391" s="15"/>
    </row>
    <row r="392">
      <c r="A392" s="27" t="s">
        <v>305</v>
      </c>
      <c r="B392" s="31" t="s">
        <v>831</v>
      </c>
      <c r="C392" s="31" t="s">
        <v>26</v>
      </c>
      <c r="D392" s="32">
        <v>77.0</v>
      </c>
      <c r="E392" s="34">
        <v>21.0</v>
      </c>
      <c r="F392" s="32">
        <v>23.0</v>
      </c>
      <c r="G392" s="32">
        <v>33.0</v>
      </c>
      <c r="H392" s="32">
        <v>93.0</v>
      </c>
      <c r="I392" s="34">
        <v>49.0</v>
      </c>
      <c r="J392" s="36">
        <v>0.2727</v>
      </c>
      <c r="K392" s="36">
        <v>0.2987</v>
      </c>
      <c r="L392" s="37">
        <v>0.4286</v>
      </c>
      <c r="M392" s="110"/>
      <c r="N392" s="108">
        <v>0.5269</v>
      </c>
      <c r="O392" s="34">
        <v>2.11</v>
      </c>
      <c r="P392" s="32">
        <v>1.21</v>
      </c>
      <c r="Q392" s="37">
        <v>0.5714</v>
      </c>
      <c r="R392" s="107">
        <v>0.4773</v>
      </c>
      <c r="S392" s="42"/>
      <c r="T392" s="43"/>
      <c r="U392" s="44"/>
      <c r="V392" s="44"/>
      <c r="W392" s="15"/>
      <c r="X392" s="15"/>
    </row>
    <row r="393">
      <c r="A393" s="27" t="s">
        <v>519</v>
      </c>
      <c r="B393" s="31" t="s">
        <v>832</v>
      </c>
      <c r="C393" s="31" t="s">
        <v>26</v>
      </c>
      <c r="D393" s="32">
        <v>29.0</v>
      </c>
      <c r="E393" s="34">
        <v>18.0</v>
      </c>
      <c r="F393" s="32">
        <v>10.0</v>
      </c>
      <c r="G393" s="32">
        <v>1.0</v>
      </c>
      <c r="H393" s="32">
        <v>60.0</v>
      </c>
      <c r="I393" s="34">
        <v>32.0</v>
      </c>
      <c r="J393" s="36">
        <v>0.6207</v>
      </c>
      <c r="K393" s="36">
        <v>0.3448</v>
      </c>
      <c r="L393" s="37">
        <v>0.0345</v>
      </c>
      <c r="M393" s="110"/>
      <c r="N393" s="108">
        <v>0.5333</v>
      </c>
      <c r="O393" s="34">
        <v>2.14</v>
      </c>
      <c r="P393" s="32">
        <v>2.07</v>
      </c>
      <c r="Q393" s="37">
        <v>0.9655</v>
      </c>
      <c r="R393" s="107">
        <v>0.6429</v>
      </c>
      <c r="S393" s="42"/>
      <c r="T393" s="43"/>
      <c r="U393" s="44"/>
      <c r="V393" s="44"/>
      <c r="W393" s="15"/>
      <c r="X393" s="15"/>
    </row>
    <row r="394">
      <c r="A394" s="27" t="s">
        <v>304</v>
      </c>
      <c r="B394" s="31" t="s">
        <v>833</v>
      </c>
      <c r="C394" s="31" t="s">
        <v>26</v>
      </c>
      <c r="D394" s="32">
        <v>86.0</v>
      </c>
      <c r="E394" s="34">
        <v>19.0</v>
      </c>
      <c r="F394" s="32">
        <v>30.0</v>
      </c>
      <c r="G394" s="32">
        <v>37.0</v>
      </c>
      <c r="H394" s="32">
        <v>90.0</v>
      </c>
      <c r="I394" s="34">
        <v>41.0</v>
      </c>
      <c r="J394" s="36">
        <v>0.2209</v>
      </c>
      <c r="K394" s="36">
        <v>0.3488</v>
      </c>
      <c r="L394" s="37">
        <v>0.4302</v>
      </c>
      <c r="M394" s="110"/>
      <c r="N394" s="108">
        <v>0.4556</v>
      </c>
      <c r="O394" s="34">
        <v>1.84</v>
      </c>
      <c r="P394" s="32">
        <v>1.05</v>
      </c>
      <c r="Q394" s="37">
        <v>0.5698</v>
      </c>
      <c r="R394" s="107">
        <v>0.3878</v>
      </c>
      <c r="S394" s="42"/>
      <c r="T394" s="43"/>
      <c r="U394" s="44"/>
      <c r="V394" s="44"/>
      <c r="W394" s="15"/>
      <c r="X394" s="15"/>
    </row>
    <row r="395">
      <c r="A395" s="27" t="s">
        <v>506</v>
      </c>
      <c r="B395" s="31" t="s">
        <v>834</v>
      </c>
      <c r="C395" s="31" t="s">
        <v>98</v>
      </c>
      <c r="D395" s="32">
        <v>85.0</v>
      </c>
      <c r="E395" s="34">
        <v>29.0</v>
      </c>
      <c r="F395" s="32">
        <v>44.0</v>
      </c>
      <c r="G395" s="32">
        <v>12.0</v>
      </c>
      <c r="H395" s="32">
        <v>136.0</v>
      </c>
      <c r="I395" s="34">
        <v>63.0</v>
      </c>
      <c r="J395" s="36">
        <v>0.3412</v>
      </c>
      <c r="K395" s="36">
        <v>0.5176</v>
      </c>
      <c r="L395" s="37">
        <v>0.1412</v>
      </c>
      <c r="M395" s="110"/>
      <c r="N395" s="108">
        <v>0.4632</v>
      </c>
      <c r="O395" s="34">
        <v>1.86</v>
      </c>
      <c r="P395" s="32">
        <v>1.6</v>
      </c>
      <c r="Q395" s="37">
        <v>0.8588</v>
      </c>
      <c r="R395" s="107">
        <v>0.3973</v>
      </c>
      <c r="S395" s="42"/>
      <c r="T395" s="43"/>
      <c r="U395" s="44"/>
      <c r="V395" s="44"/>
      <c r="W395" s="15"/>
      <c r="X395" s="15"/>
    </row>
    <row r="396">
      <c r="A396" s="27" t="s">
        <v>328</v>
      </c>
      <c r="B396" s="31" t="s">
        <v>835</v>
      </c>
      <c r="C396" s="31" t="s">
        <v>33</v>
      </c>
      <c r="D396" s="32">
        <v>23.0</v>
      </c>
      <c r="E396" s="34">
        <v>3.0</v>
      </c>
      <c r="F396" s="32">
        <v>9.0</v>
      </c>
      <c r="G396" s="32">
        <v>11.0</v>
      </c>
      <c r="H396" s="32">
        <v>23.0</v>
      </c>
      <c r="I396" s="34">
        <v>11.0</v>
      </c>
      <c r="J396" s="36">
        <v>0.1304</v>
      </c>
      <c r="K396" s="36">
        <v>0.3913</v>
      </c>
      <c r="L396" s="37">
        <v>0.4783</v>
      </c>
      <c r="M396" s="110"/>
      <c r="N396" s="108">
        <v>0.4783</v>
      </c>
      <c r="O396" s="34">
        <v>1.92</v>
      </c>
      <c r="P396" s="32">
        <v>1.0</v>
      </c>
      <c r="Q396" s="37">
        <v>0.5217</v>
      </c>
      <c r="R396" s="107">
        <v>0.25</v>
      </c>
      <c r="S396" s="42"/>
      <c r="T396" s="43"/>
      <c r="U396" s="44"/>
      <c r="V396" s="44"/>
      <c r="W396" s="15"/>
      <c r="X396" s="15"/>
    </row>
    <row r="397">
      <c r="A397" s="27" t="s">
        <v>173</v>
      </c>
      <c r="B397" s="31" t="s">
        <v>836</v>
      </c>
      <c r="C397" s="31" t="s">
        <v>42</v>
      </c>
      <c r="D397" s="32">
        <v>175.0</v>
      </c>
      <c r="E397" s="34">
        <v>14.0</v>
      </c>
      <c r="F397" s="32">
        <v>60.0</v>
      </c>
      <c r="G397" s="32">
        <v>101.0</v>
      </c>
      <c r="H397" s="32">
        <v>111.0</v>
      </c>
      <c r="I397" s="34">
        <v>37.0</v>
      </c>
      <c r="J397" s="36">
        <v>0.08</v>
      </c>
      <c r="K397" s="36">
        <v>0.3429</v>
      </c>
      <c r="L397" s="37">
        <v>0.5771</v>
      </c>
      <c r="M397" s="110"/>
      <c r="N397" s="108">
        <v>0.3333</v>
      </c>
      <c r="O397" s="34">
        <v>1.5</v>
      </c>
      <c r="P397" s="32">
        <v>0.63</v>
      </c>
      <c r="Q397" s="37">
        <v>0.4229</v>
      </c>
      <c r="R397" s="107">
        <v>0.1892</v>
      </c>
      <c r="S397" s="42"/>
      <c r="T397" s="43"/>
      <c r="U397" s="44"/>
      <c r="V397" s="44"/>
      <c r="W397" s="15"/>
      <c r="X397" s="15"/>
    </row>
    <row r="398">
      <c r="A398" s="27" t="s">
        <v>135</v>
      </c>
      <c r="B398" s="31" t="s">
        <v>837</v>
      </c>
      <c r="C398" s="31" t="s">
        <v>42</v>
      </c>
      <c r="D398" s="32">
        <v>48.0</v>
      </c>
      <c r="E398" s="34">
        <v>9.0</v>
      </c>
      <c r="F398" s="32">
        <v>14.0</v>
      </c>
      <c r="G398" s="32">
        <v>25.0</v>
      </c>
      <c r="H398" s="32">
        <v>38.0</v>
      </c>
      <c r="I398" s="34">
        <v>15.0</v>
      </c>
      <c r="J398" s="36">
        <v>0.1875</v>
      </c>
      <c r="K398" s="36">
        <v>0.2917</v>
      </c>
      <c r="L398" s="37">
        <v>0.5208</v>
      </c>
      <c r="M398" s="110"/>
      <c r="N398" s="108">
        <v>0.3947</v>
      </c>
      <c r="O398" s="34">
        <v>1.65</v>
      </c>
      <c r="P398" s="32">
        <v>0.79</v>
      </c>
      <c r="Q398" s="37">
        <v>0.4792</v>
      </c>
      <c r="R398" s="107">
        <v>0.3913</v>
      </c>
      <c r="S398" s="42"/>
      <c r="T398" s="43"/>
      <c r="U398" s="44"/>
      <c r="V398" s="44"/>
      <c r="W398" s="15"/>
      <c r="X398" s="15"/>
    </row>
    <row r="399">
      <c r="A399" s="27" t="s">
        <v>405</v>
      </c>
      <c r="B399" s="31" t="s">
        <v>838</v>
      </c>
      <c r="C399" s="31" t="s">
        <v>26</v>
      </c>
      <c r="D399" s="32">
        <v>26.0</v>
      </c>
      <c r="E399" s="34">
        <v>3.0</v>
      </c>
      <c r="F399" s="32">
        <v>15.0</v>
      </c>
      <c r="G399" s="32">
        <v>8.0</v>
      </c>
      <c r="H399" s="32">
        <v>22.0</v>
      </c>
      <c r="I399" s="34">
        <v>4.0</v>
      </c>
      <c r="J399" s="36">
        <v>0.1154</v>
      </c>
      <c r="K399" s="36">
        <v>0.5769</v>
      </c>
      <c r="L399" s="37">
        <v>0.3077</v>
      </c>
      <c r="M399" s="110"/>
      <c r="N399" s="108">
        <v>0.1818</v>
      </c>
      <c r="O399" s="34">
        <v>1.22</v>
      </c>
      <c r="P399" s="32">
        <v>0.85</v>
      </c>
      <c r="Q399" s="37">
        <v>0.6923</v>
      </c>
      <c r="R399" s="107">
        <v>0.1667</v>
      </c>
      <c r="S399" s="42"/>
      <c r="T399" s="43"/>
      <c r="U399" s="44"/>
      <c r="V399" s="44"/>
      <c r="W399" s="15"/>
      <c r="X399" s="15"/>
    </row>
    <row r="400">
      <c r="A400" s="27" t="s">
        <v>151</v>
      </c>
      <c r="B400" s="31" t="s">
        <v>839</v>
      </c>
      <c r="C400" s="31" t="s">
        <v>42</v>
      </c>
      <c r="D400" s="32">
        <v>9.0</v>
      </c>
      <c r="E400" s="34">
        <v>5.0</v>
      </c>
      <c r="F400" s="32">
        <v>4.0</v>
      </c>
      <c r="G400" s="32">
        <v>0.0</v>
      </c>
      <c r="H400" s="32">
        <v>17.0</v>
      </c>
      <c r="I400" s="34">
        <v>8.0</v>
      </c>
      <c r="J400" s="36">
        <v>0.5556</v>
      </c>
      <c r="K400" s="36">
        <v>0.4444</v>
      </c>
      <c r="L400" s="37">
        <v>0.0</v>
      </c>
      <c r="M400" s="110"/>
      <c r="N400" s="108">
        <v>0.4706</v>
      </c>
      <c r="O400" s="34">
        <v>1.89</v>
      </c>
      <c r="P400" s="32">
        <v>1.89</v>
      </c>
      <c r="Q400" s="37">
        <v>1.0</v>
      </c>
      <c r="R400" s="107">
        <v>0.5556</v>
      </c>
      <c r="S400" s="42"/>
      <c r="T400" s="43"/>
      <c r="U400" s="44"/>
      <c r="V400" s="44"/>
      <c r="W400" s="15"/>
      <c r="X400" s="15"/>
    </row>
    <row r="401">
      <c r="A401" s="27" t="s">
        <v>377</v>
      </c>
      <c r="B401" s="31" t="s">
        <v>840</v>
      </c>
      <c r="C401" s="31" t="s">
        <v>42</v>
      </c>
      <c r="D401" s="32">
        <v>43.0</v>
      </c>
      <c r="E401" s="34">
        <v>4.0</v>
      </c>
      <c r="F401" s="32">
        <v>22.0</v>
      </c>
      <c r="G401" s="32">
        <v>17.0</v>
      </c>
      <c r="H401" s="32">
        <v>54.0</v>
      </c>
      <c r="I401" s="34">
        <v>28.0</v>
      </c>
      <c r="J401" s="36">
        <v>0.093</v>
      </c>
      <c r="K401" s="36">
        <v>0.5116</v>
      </c>
      <c r="L401" s="37">
        <v>0.3953</v>
      </c>
      <c r="M401" s="110"/>
      <c r="N401" s="108">
        <v>0.5185</v>
      </c>
      <c r="O401" s="34">
        <v>2.08</v>
      </c>
      <c r="P401" s="32">
        <v>1.26</v>
      </c>
      <c r="Q401" s="37">
        <v>0.6047</v>
      </c>
      <c r="R401" s="107">
        <v>0.1538</v>
      </c>
      <c r="S401" s="42"/>
      <c r="T401" s="43"/>
      <c r="U401" s="44"/>
      <c r="V401" s="44"/>
      <c r="W401" s="15"/>
      <c r="X401" s="15"/>
    </row>
    <row r="402">
      <c r="A402" s="27" t="s">
        <v>249</v>
      </c>
      <c r="B402" s="31" t="s">
        <v>841</v>
      </c>
      <c r="C402" s="31" t="s">
        <v>55</v>
      </c>
      <c r="D402" s="32">
        <v>31.0</v>
      </c>
      <c r="E402" s="34">
        <v>10.0</v>
      </c>
      <c r="F402" s="32">
        <v>8.0</v>
      </c>
      <c r="G402" s="32">
        <v>13.0</v>
      </c>
      <c r="H402" s="32">
        <v>38.0</v>
      </c>
      <c r="I402" s="34">
        <v>20.0</v>
      </c>
      <c r="J402" s="36">
        <v>0.3226</v>
      </c>
      <c r="K402" s="36">
        <v>0.2581</v>
      </c>
      <c r="L402" s="37">
        <v>0.4194</v>
      </c>
      <c r="M402" s="110"/>
      <c r="N402" s="108">
        <v>0.5263</v>
      </c>
      <c r="O402" s="34">
        <v>2.11</v>
      </c>
      <c r="P402" s="32">
        <v>1.23</v>
      </c>
      <c r="Q402" s="37">
        <v>0.5806</v>
      </c>
      <c r="R402" s="107">
        <v>0.5556</v>
      </c>
      <c r="S402" s="42"/>
      <c r="T402" s="43"/>
      <c r="U402" s="44"/>
      <c r="V402" s="44"/>
      <c r="W402" s="15"/>
      <c r="X402" s="15"/>
    </row>
    <row r="403">
      <c r="A403" s="27" t="s">
        <v>492</v>
      </c>
      <c r="B403" s="31" t="s">
        <v>842</v>
      </c>
      <c r="C403" s="31" t="s">
        <v>55</v>
      </c>
      <c r="D403" s="32">
        <v>14.0</v>
      </c>
      <c r="E403" s="34">
        <v>4.0</v>
      </c>
      <c r="F403" s="32">
        <v>6.0</v>
      </c>
      <c r="G403" s="32">
        <v>4.0</v>
      </c>
      <c r="H403" s="32">
        <v>15.0</v>
      </c>
      <c r="I403" s="34">
        <v>5.0</v>
      </c>
      <c r="J403" s="36">
        <v>0.2857</v>
      </c>
      <c r="K403" s="36">
        <v>0.4286</v>
      </c>
      <c r="L403" s="37">
        <v>0.2857</v>
      </c>
      <c r="M403" s="110"/>
      <c r="N403" s="108">
        <v>0.3333</v>
      </c>
      <c r="O403" s="34">
        <v>1.5</v>
      </c>
      <c r="P403" s="32">
        <v>1.07</v>
      </c>
      <c r="Q403" s="37">
        <v>0.7143</v>
      </c>
      <c r="R403" s="107">
        <v>0.4</v>
      </c>
      <c r="S403" s="42"/>
      <c r="T403" s="43"/>
      <c r="U403" s="44"/>
      <c r="V403" s="44"/>
      <c r="W403" s="15"/>
      <c r="X403" s="15"/>
    </row>
    <row r="404">
      <c r="A404" s="27" t="s">
        <v>409</v>
      </c>
      <c r="B404" s="31" t="s">
        <v>843</v>
      </c>
      <c r="C404" s="31" t="s">
        <v>26</v>
      </c>
      <c r="D404" s="32">
        <v>29.0</v>
      </c>
      <c r="E404" s="34">
        <v>4.0</v>
      </c>
      <c r="F404" s="32">
        <v>9.0</v>
      </c>
      <c r="G404" s="32">
        <v>16.0</v>
      </c>
      <c r="H404" s="32">
        <v>19.0</v>
      </c>
      <c r="I404" s="34">
        <v>6.0</v>
      </c>
      <c r="J404" s="36">
        <v>0.1379</v>
      </c>
      <c r="K404" s="36">
        <v>0.3103</v>
      </c>
      <c r="L404" s="37">
        <v>0.5517</v>
      </c>
      <c r="M404" s="110"/>
      <c r="N404" s="108">
        <v>0.3158</v>
      </c>
      <c r="O404" s="34">
        <v>1.46</v>
      </c>
      <c r="P404" s="32">
        <v>0.66</v>
      </c>
      <c r="Q404" s="37">
        <v>0.4483</v>
      </c>
      <c r="R404" s="107">
        <v>0.3077</v>
      </c>
      <c r="S404" s="42"/>
      <c r="T404" s="43"/>
      <c r="U404" s="44"/>
      <c r="V404" s="44"/>
      <c r="W404" s="15"/>
      <c r="X404" s="15"/>
    </row>
    <row r="405">
      <c r="A405" s="27" t="s">
        <v>466</v>
      </c>
      <c r="B405" s="31" t="s">
        <v>844</v>
      </c>
      <c r="C405" s="31" t="s">
        <v>46</v>
      </c>
      <c r="D405" s="32">
        <v>194.0</v>
      </c>
      <c r="E405" s="34">
        <v>49.0</v>
      </c>
      <c r="F405" s="32">
        <v>95.0</v>
      </c>
      <c r="G405" s="32">
        <v>50.0</v>
      </c>
      <c r="H405" s="32">
        <v>283.0</v>
      </c>
      <c r="I405" s="34">
        <v>139.0</v>
      </c>
      <c r="J405" s="36">
        <v>0.2526</v>
      </c>
      <c r="K405" s="36">
        <v>0.4897</v>
      </c>
      <c r="L405" s="37">
        <v>0.2577</v>
      </c>
      <c r="M405" s="110"/>
      <c r="N405" s="108">
        <v>0.4912</v>
      </c>
      <c r="O405" s="34">
        <v>1.97</v>
      </c>
      <c r="P405" s="32">
        <v>1.46</v>
      </c>
      <c r="Q405" s="37">
        <v>0.7423</v>
      </c>
      <c r="R405" s="107">
        <v>0.3403</v>
      </c>
      <c r="S405" s="42"/>
      <c r="T405" s="43"/>
      <c r="U405" s="44"/>
      <c r="V405" s="44"/>
      <c r="W405" s="15"/>
      <c r="X405" s="15"/>
    </row>
    <row r="406">
      <c r="A406" s="27" t="s">
        <v>381</v>
      </c>
      <c r="B406" s="31" t="s">
        <v>845</v>
      </c>
      <c r="C406" s="31" t="s">
        <v>31</v>
      </c>
      <c r="D406" s="32">
        <v>377.0</v>
      </c>
      <c r="E406" s="34">
        <v>153.0</v>
      </c>
      <c r="F406" s="32">
        <v>116.0</v>
      </c>
      <c r="G406" s="32">
        <v>108.0</v>
      </c>
      <c r="H406" s="32">
        <v>870.0</v>
      </c>
      <c r="I406" s="34">
        <v>601.0</v>
      </c>
      <c r="J406" s="36">
        <v>0.4058</v>
      </c>
      <c r="K406" s="36">
        <v>0.3077</v>
      </c>
      <c r="L406" s="37">
        <v>0.2865</v>
      </c>
      <c r="M406" s="110"/>
      <c r="N406" s="108">
        <v>0.6908</v>
      </c>
      <c r="O406" s="34">
        <v>3.23</v>
      </c>
      <c r="P406" s="32">
        <v>2.31</v>
      </c>
      <c r="Q406" s="37">
        <v>0.7135</v>
      </c>
      <c r="R406" s="107">
        <v>0.5688</v>
      </c>
      <c r="S406" s="42"/>
      <c r="T406" s="43"/>
      <c r="U406" s="44"/>
      <c r="V406" s="44"/>
      <c r="W406" s="15"/>
      <c r="X406" s="15"/>
    </row>
    <row r="407">
      <c r="A407" s="27" t="s">
        <v>145</v>
      </c>
      <c r="B407" s="31" t="s">
        <v>846</v>
      </c>
      <c r="C407" s="31" t="s">
        <v>33</v>
      </c>
      <c r="D407" s="32">
        <v>374.0</v>
      </c>
      <c r="E407" s="34">
        <v>47.0</v>
      </c>
      <c r="F407" s="32">
        <v>86.0</v>
      </c>
      <c r="G407" s="32">
        <v>241.0</v>
      </c>
      <c r="H407" s="32">
        <v>365.0</v>
      </c>
      <c r="I407" s="34">
        <v>232.0</v>
      </c>
      <c r="J407" s="36">
        <v>0.1257</v>
      </c>
      <c r="K407" s="36">
        <v>0.2299</v>
      </c>
      <c r="L407" s="37">
        <v>0.6444</v>
      </c>
      <c r="M407" s="110"/>
      <c r="N407" s="108">
        <v>0.6356</v>
      </c>
      <c r="O407" s="34">
        <v>2.74</v>
      </c>
      <c r="P407" s="32">
        <v>0.98</v>
      </c>
      <c r="Q407" s="37">
        <v>0.3556</v>
      </c>
      <c r="R407" s="107">
        <v>0.3534</v>
      </c>
      <c r="S407" s="42"/>
      <c r="T407" s="43"/>
      <c r="U407" s="44"/>
      <c r="V407" s="44"/>
      <c r="W407" s="15"/>
      <c r="X407" s="15"/>
    </row>
    <row r="408">
      <c r="A408" s="27" t="s">
        <v>259</v>
      </c>
      <c r="B408" s="31" t="s">
        <v>847</v>
      </c>
      <c r="C408" s="31" t="s">
        <v>46</v>
      </c>
      <c r="D408" s="32">
        <v>16.0</v>
      </c>
      <c r="E408" s="34">
        <v>4.0</v>
      </c>
      <c r="F408" s="32">
        <v>6.0</v>
      </c>
      <c r="G408" s="32">
        <v>6.0</v>
      </c>
      <c r="H408" s="32">
        <v>17.0</v>
      </c>
      <c r="I408" s="34">
        <v>7.0</v>
      </c>
      <c r="J408" s="36">
        <v>0.25</v>
      </c>
      <c r="K408" s="36">
        <v>0.375</v>
      </c>
      <c r="L408" s="37">
        <v>0.375</v>
      </c>
      <c r="M408" s="110"/>
      <c r="N408" s="108">
        <v>0.4118</v>
      </c>
      <c r="O408" s="34">
        <v>1.7</v>
      </c>
      <c r="P408" s="32">
        <v>1.06</v>
      </c>
      <c r="Q408" s="37">
        <v>0.625</v>
      </c>
      <c r="R408" s="107">
        <v>0.4</v>
      </c>
      <c r="S408" s="42"/>
      <c r="T408" s="43"/>
      <c r="U408" s="44"/>
      <c r="V408" s="44"/>
      <c r="W408" s="15"/>
      <c r="X408" s="15"/>
    </row>
    <row r="409">
      <c r="A409" s="27" t="s">
        <v>359</v>
      </c>
      <c r="B409" s="31" t="s">
        <v>848</v>
      </c>
      <c r="C409" s="31" t="s">
        <v>42</v>
      </c>
      <c r="D409" s="32">
        <v>51.0</v>
      </c>
      <c r="E409" s="34">
        <v>7.0</v>
      </c>
      <c r="F409" s="32">
        <v>25.0</v>
      </c>
      <c r="G409" s="32">
        <v>19.0</v>
      </c>
      <c r="H409" s="32">
        <v>39.0</v>
      </c>
      <c r="I409" s="34">
        <v>7.0</v>
      </c>
      <c r="J409" s="36">
        <v>0.1373</v>
      </c>
      <c r="K409" s="36">
        <v>0.4902</v>
      </c>
      <c r="L409" s="37">
        <v>0.3725</v>
      </c>
      <c r="M409" s="110"/>
      <c r="N409" s="108">
        <v>0.1795</v>
      </c>
      <c r="O409" s="34">
        <v>1.22</v>
      </c>
      <c r="P409" s="32">
        <v>0.76</v>
      </c>
      <c r="Q409" s="37">
        <v>0.6275</v>
      </c>
      <c r="R409" s="107">
        <v>0.2188</v>
      </c>
      <c r="S409" s="42"/>
      <c r="T409" s="43"/>
      <c r="U409" s="44"/>
      <c r="V409" s="44"/>
      <c r="W409" s="15"/>
      <c r="X409" s="15"/>
    </row>
    <row r="410">
      <c r="A410" s="27" t="s">
        <v>228</v>
      </c>
      <c r="B410" s="31" t="s">
        <v>849</v>
      </c>
      <c r="C410" s="31" t="s">
        <v>42</v>
      </c>
      <c r="D410" s="32">
        <v>253.0</v>
      </c>
      <c r="E410" s="34">
        <v>91.0</v>
      </c>
      <c r="F410" s="32">
        <v>67.0</v>
      </c>
      <c r="G410" s="32">
        <v>95.0</v>
      </c>
      <c r="H410" s="32">
        <v>742.0</v>
      </c>
      <c r="I410" s="34">
        <v>584.0</v>
      </c>
      <c r="J410" s="36">
        <v>0.3597</v>
      </c>
      <c r="K410" s="36">
        <v>0.2648</v>
      </c>
      <c r="L410" s="37">
        <v>0.3755</v>
      </c>
      <c r="M410" s="110"/>
      <c r="N410" s="108">
        <v>0.7871</v>
      </c>
      <c r="O410" s="34">
        <v>4.7</v>
      </c>
      <c r="P410" s="32">
        <v>2.93</v>
      </c>
      <c r="Q410" s="37">
        <v>0.6245</v>
      </c>
      <c r="R410" s="107">
        <v>0.5759</v>
      </c>
      <c r="S410" s="42"/>
      <c r="T410" s="43"/>
      <c r="U410" s="44"/>
      <c r="V410" s="44"/>
      <c r="W410" s="15"/>
      <c r="X410" s="15"/>
    </row>
    <row r="411">
      <c r="A411" s="27" t="s">
        <v>383</v>
      </c>
      <c r="B411" s="31" t="s">
        <v>850</v>
      </c>
      <c r="C411" s="31" t="s">
        <v>31</v>
      </c>
      <c r="D411" s="32">
        <v>40.0</v>
      </c>
      <c r="E411" s="34">
        <v>20.0</v>
      </c>
      <c r="F411" s="32">
        <v>13.0</v>
      </c>
      <c r="G411" s="32">
        <v>7.0</v>
      </c>
      <c r="H411" s="32">
        <v>92.0</v>
      </c>
      <c r="I411" s="34">
        <v>59.0</v>
      </c>
      <c r="J411" s="36">
        <v>0.5</v>
      </c>
      <c r="K411" s="36">
        <v>0.325</v>
      </c>
      <c r="L411" s="37">
        <v>0.175</v>
      </c>
      <c r="M411" s="110"/>
      <c r="N411" s="108">
        <v>0.6413</v>
      </c>
      <c r="O411" s="34">
        <v>2.79</v>
      </c>
      <c r="P411" s="32">
        <v>2.3</v>
      </c>
      <c r="Q411" s="37">
        <v>0.825</v>
      </c>
      <c r="R411" s="107">
        <v>0.6061</v>
      </c>
      <c r="S411" s="42"/>
      <c r="T411" s="43"/>
      <c r="U411" s="44"/>
      <c r="V411" s="44"/>
      <c r="W411" s="15"/>
      <c r="X411" s="15"/>
    </row>
    <row r="412">
      <c r="A412" s="27" t="s">
        <v>520</v>
      </c>
      <c r="B412" s="31" t="s">
        <v>851</v>
      </c>
      <c r="C412" s="31" t="s">
        <v>98</v>
      </c>
      <c r="D412" s="32">
        <v>40.0</v>
      </c>
      <c r="E412" s="34">
        <v>20.0</v>
      </c>
      <c r="F412" s="32">
        <v>13.0</v>
      </c>
      <c r="G412" s="32">
        <v>7.0</v>
      </c>
      <c r="H412" s="32">
        <v>92.0</v>
      </c>
      <c r="I412" s="34">
        <v>59.0</v>
      </c>
      <c r="J412" s="36">
        <v>0.5</v>
      </c>
      <c r="K412" s="36">
        <v>0.325</v>
      </c>
      <c r="L412" s="37">
        <v>0.175</v>
      </c>
      <c r="M412" s="110"/>
      <c r="N412" s="108">
        <v>0.6413</v>
      </c>
      <c r="O412" s="34">
        <v>2.79</v>
      </c>
      <c r="P412" s="32">
        <v>2.3</v>
      </c>
      <c r="Q412" s="37">
        <v>0.825</v>
      </c>
      <c r="R412" s="107">
        <v>0.6061</v>
      </c>
      <c r="S412" s="42"/>
      <c r="T412" s="43"/>
      <c r="U412" s="44"/>
      <c r="V412" s="44"/>
      <c r="W412" s="15"/>
      <c r="X412" s="15"/>
    </row>
    <row r="413">
      <c r="A413" s="27" t="s">
        <v>285</v>
      </c>
      <c r="B413" s="31" t="s">
        <v>852</v>
      </c>
      <c r="C413" s="31" t="s">
        <v>26</v>
      </c>
      <c r="D413" s="32">
        <v>18.0</v>
      </c>
      <c r="E413" s="34">
        <v>2.0</v>
      </c>
      <c r="F413" s="32">
        <v>7.0</v>
      </c>
      <c r="G413" s="32">
        <v>9.0</v>
      </c>
      <c r="H413" s="32">
        <v>21.0</v>
      </c>
      <c r="I413" s="34">
        <v>12.0</v>
      </c>
      <c r="J413" s="36">
        <v>0.1111</v>
      </c>
      <c r="K413" s="36">
        <v>0.3889</v>
      </c>
      <c r="L413" s="37">
        <v>0.5</v>
      </c>
      <c r="M413" s="110"/>
      <c r="N413" s="108">
        <v>0.5714</v>
      </c>
      <c r="O413" s="34">
        <v>2.33</v>
      </c>
      <c r="P413" s="32">
        <v>1.17</v>
      </c>
      <c r="Q413" s="37">
        <v>0.5</v>
      </c>
      <c r="R413" s="107">
        <v>0.2222</v>
      </c>
      <c r="S413" s="42"/>
      <c r="T413" s="43"/>
      <c r="U413" s="44"/>
      <c r="V413" s="44"/>
      <c r="W413" s="15"/>
      <c r="X413" s="15"/>
    </row>
    <row r="414">
      <c r="A414" s="27" t="s">
        <v>347</v>
      </c>
      <c r="B414" s="31" t="s">
        <v>853</v>
      </c>
      <c r="C414" s="31" t="s">
        <v>42</v>
      </c>
      <c r="D414" s="32">
        <v>89.0</v>
      </c>
      <c r="E414" s="34">
        <v>3.0</v>
      </c>
      <c r="F414" s="32">
        <v>42.0</v>
      </c>
      <c r="G414" s="32">
        <v>44.0</v>
      </c>
      <c r="H414" s="32">
        <v>48.0</v>
      </c>
      <c r="I414" s="34">
        <v>3.0</v>
      </c>
      <c r="J414" s="36">
        <v>0.0337</v>
      </c>
      <c r="K414" s="36">
        <v>0.4719</v>
      </c>
      <c r="L414" s="37">
        <v>0.4944</v>
      </c>
      <c r="M414" s="110"/>
      <c r="N414" s="108">
        <v>0.0625</v>
      </c>
      <c r="O414" s="34">
        <v>1.07</v>
      </c>
      <c r="P414" s="32">
        <v>0.54</v>
      </c>
      <c r="Q414" s="37">
        <v>0.5056</v>
      </c>
      <c r="R414" s="107">
        <v>0.0667</v>
      </c>
      <c r="S414" s="42"/>
      <c r="T414" s="43"/>
      <c r="U414" s="44"/>
      <c r="V414" s="44"/>
      <c r="W414" s="15"/>
      <c r="X414" s="15"/>
    </row>
    <row r="415">
      <c r="A415" s="27" t="s">
        <v>136</v>
      </c>
      <c r="B415" s="31" t="s">
        <v>854</v>
      </c>
      <c r="C415" s="31" t="s">
        <v>55</v>
      </c>
      <c r="D415" s="32">
        <v>68.0</v>
      </c>
      <c r="E415" s="34">
        <v>9.0</v>
      </c>
      <c r="F415" s="32">
        <v>14.0</v>
      </c>
      <c r="G415" s="32">
        <v>45.0</v>
      </c>
      <c r="H415" s="32">
        <v>47.0</v>
      </c>
      <c r="I415" s="34">
        <v>24.0</v>
      </c>
      <c r="J415" s="36">
        <v>0.1324</v>
      </c>
      <c r="K415" s="36">
        <v>0.2059</v>
      </c>
      <c r="L415" s="37">
        <v>0.6618</v>
      </c>
      <c r="M415" s="110"/>
      <c r="N415" s="108">
        <v>0.5106</v>
      </c>
      <c r="O415" s="34">
        <v>2.04</v>
      </c>
      <c r="P415" s="32">
        <v>0.69</v>
      </c>
      <c r="Q415" s="37">
        <v>0.3382</v>
      </c>
      <c r="R415" s="107">
        <v>0.3913</v>
      </c>
      <c r="S415" s="42"/>
      <c r="T415" s="43"/>
      <c r="U415" s="44"/>
      <c r="V415" s="44"/>
      <c r="W415" s="15"/>
      <c r="X415" s="15"/>
    </row>
    <row r="416">
      <c r="A416" s="27" t="s">
        <v>613</v>
      </c>
      <c r="B416" s="31" t="s">
        <v>855</v>
      </c>
      <c r="C416" s="31" t="s">
        <v>98</v>
      </c>
      <c r="D416" s="32">
        <v>21.0</v>
      </c>
      <c r="E416" s="34">
        <v>5.0</v>
      </c>
      <c r="F416" s="32">
        <v>8.0</v>
      </c>
      <c r="G416" s="32">
        <v>8.0</v>
      </c>
      <c r="H416" s="32">
        <v>23.0</v>
      </c>
      <c r="I416" s="34">
        <v>10.0</v>
      </c>
      <c r="J416" s="36">
        <v>0.2381</v>
      </c>
      <c r="K416" s="36">
        <v>0.381</v>
      </c>
      <c r="L416" s="37">
        <v>0.381</v>
      </c>
      <c r="M416" s="110"/>
      <c r="N416" s="108">
        <v>0.4348</v>
      </c>
      <c r="O416" s="34">
        <v>1.77</v>
      </c>
      <c r="P416" s="32">
        <v>1.1</v>
      </c>
      <c r="Q416" s="37">
        <v>0.619</v>
      </c>
      <c r="R416" s="107">
        <v>0.3846</v>
      </c>
      <c r="S416" s="42"/>
      <c r="T416" s="43"/>
      <c r="U416" s="44"/>
      <c r="V416" s="44"/>
      <c r="W416" s="15"/>
      <c r="X416" s="15"/>
    </row>
    <row r="417">
      <c r="A417" s="27" t="s">
        <v>210</v>
      </c>
      <c r="B417" s="31" t="s">
        <v>856</v>
      </c>
      <c r="C417" s="31" t="s">
        <v>124</v>
      </c>
      <c r="D417" s="32">
        <v>115.0</v>
      </c>
      <c r="E417" s="34">
        <v>20.0</v>
      </c>
      <c r="F417" s="32">
        <v>65.0</v>
      </c>
      <c r="G417" s="32">
        <v>30.0</v>
      </c>
      <c r="H417" s="32">
        <v>148.0</v>
      </c>
      <c r="I417" s="34">
        <v>63.0</v>
      </c>
      <c r="J417" s="36">
        <v>0.1739</v>
      </c>
      <c r="K417" s="36">
        <v>0.5652</v>
      </c>
      <c r="L417" s="37">
        <v>0.2609</v>
      </c>
      <c r="M417" s="110"/>
      <c r="N417" s="108">
        <v>0.4257</v>
      </c>
      <c r="O417" s="34">
        <v>1.74</v>
      </c>
      <c r="P417" s="32">
        <v>1.29</v>
      </c>
      <c r="Q417" s="37">
        <v>0.7391</v>
      </c>
      <c r="R417" s="107">
        <v>0.2353</v>
      </c>
      <c r="S417" s="42"/>
      <c r="T417" s="43"/>
      <c r="U417" s="44"/>
      <c r="V417" s="44"/>
      <c r="W417" s="15"/>
      <c r="X417" s="15"/>
    </row>
    <row r="418">
      <c r="A418" s="27" t="s">
        <v>603</v>
      </c>
      <c r="B418" s="31" t="s">
        <v>857</v>
      </c>
      <c r="C418" s="31" t="s">
        <v>55</v>
      </c>
      <c r="D418" s="32">
        <v>13.0</v>
      </c>
      <c r="E418" s="34">
        <v>5.0</v>
      </c>
      <c r="F418" s="32">
        <v>3.0</v>
      </c>
      <c r="G418" s="32">
        <v>5.0</v>
      </c>
      <c r="H418" s="32">
        <v>17.0</v>
      </c>
      <c r="I418" s="34">
        <v>9.0</v>
      </c>
      <c r="J418" s="36">
        <v>0.3846</v>
      </c>
      <c r="K418" s="36">
        <v>0.2308</v>
      </c>
      <c r="L418" s="37">
        <v>0.3846</v>
      </c>
      <c r="M418" s="110"/>
      <c r="N418" s="108">
        <v>0.5294</v>
      </c>
      <c r="O418" s="34">
        <v>2.13</v>
      </c>
      <c r="P418" s="32">
        <v>1.31</v>
      </c>
      <c r="Q418" s="37">
        <v>0.6154</v>
      </c>
      <c r="R418" s="107">
        <v>0.625</v>
      </c>
      <c r="S418" s="42"/>
      <c r="T418" s="43"/>
      <c r="U418" s="44"/>
      <c r="V418" s="44"/>
      <c r="W418" s="15"/>
      <c r="X418" s="15"/>
    </row>
    <row r="419">
      <c r="A419" s="27" t="s">
        <v>314</v>
      </c>
      <c r="B419" s="31" t="s">
        <v>858</v>
      </c>
      <c r="C419" s="31" t="s">
        <v>26</v>
      </c>
      <c r="D419" s="32">
        <v>63.0</v>
      </c>
      <c r="E419" s="34">
        <v>6.0</v>
      </c>
      <c r="F419" s="32">
        <v>14.0</v>
      </c>
      <c r="G419" s="32">
        <v>43.0</v>
      </c>
      <c r="H419" s="32">
        <v>40.0</v>
      </c>
      <c r="I419" s="34">
        <v>20.0</v>
      </c>
      <c r="J419" s="36">
        <v>0.0952</v>
      </c>
      <c r="K419" s="36">
        <v>0.2222</v>
      </c>
      <c r="L419" s="37">
        <v>0.6825</v>
      </c>
      <c r="M419" s="110"/>
      <c r="N419" s="108">
        <v>0.5</v>
      </c>
      <c r="O419" s="34">
        <v>2.0</v>
      </c>
      <c r="P419" s="32">
        <v>0.63</v>
      </c>
      <c r="Q419" s="37">
        <v>0.3175</v>
      </c>
      <c r="R419" s="107">
        <v>0.3</v>
      </c>
      <c r="S419" s="42"/>
      <c r="T419" s="43"/>
      <c r="U419" s="44"/>
      <c r="V419" s="44"/>
      <c r="W419" s="15"/>
      <c r="X419" s="15"/>
    </row>
    <row r="420">
      <c r="A420" s="27" t="s">
        <v>212</v>
      </c>
      <c r="B420" s="31" t="s">
        <v>859</v>
      </c>
      <c r="C420" s="31" t="s">
        <v>46</v>
      </c>
      <c r="D420" s="32">
        <v>17.0</v>
      </c>
      <c r="E420" s="34">
        <v>1.0</v>
      </c>
      <c r="F420" s="32">
        <v>1.0</v>
      </c>
      <c r="G420" s="32">
        <v>15.0</v>
      </c>
      <c r="H420" s="32">
        <v>3.0</v>
      </c>
      <c r="I420" s="34">
        <v>1.0</v>
      </c>
      <c r="J420" s="36">
        <v>0.0588</v>
      </c>
      <c r="K420" s="36">
        <v>0.0588</v>
      </c>
      <c r="L420" s="37">
        <v>0.8824</v>
      </c>
      <c r="M420" s="110"/>
      <c r="N420" s="108">
        <v>0.3333</v>
      </c>
      <c r="O420" s="34">
        <v>1.5</v>
      </c>
      <c r="P420" s="32">
        <v>0.18</v>
      </c>
      <c r="Q420" s="37">
        <v>0.1176</v>
      </c>
      <c r="R420" s="107">
        <v>0.5</v>
      </c>
      <c r="S420" s="42"/>
      <c r="T420" s="43"/>
      <c r="U420" s="44"/>
      <c r="V420" s="44"/>
      <c r="W420" s="15"/>
      <c r="X420" s="15"/>
    </row>
    <row r="421">
      <c r="A421" s="27" t="s">
        <v>604</v>
      </c>
      <c r="B421" s="31" t="s">
        <v>860</v>
      </c>
      <c r="C421" s="31" t="s">
        <v>46</v>
      </c>
      <c r="D421" s="32">
        <v>65.0</v>
      </c>
      <c r="E421" s="34">
        <v>10.0</v>
      </c>
      <c r="F421" s="32">
        <v>5.0</v>
      </c>
      <c r="G421" s="32">
        <v>50.0</v>
      </c>
      <c r="H421" s="32">
        <v>86.0</v>
      </c>
      <c r="I421" s="34">
        <v>71.0</v>
      </c>
      <c r="J421" s="36">
        <v>0.1538</v>
      </c>
      <c r="K421" s="36">
        <v>0.0769</v>
      </c>
      <c r="L421" s="37">
        <v>0.7692</v>
      </c>
      <c r="M421" s="110"/>
      <c r="N421" s="108">
        <v>0.8256</v>
      </c>
      <c r="O421" s="34">
        <v>5.73</v>
      </c>
      <c r="P421" s="32">
        <v>1.32</v>
      </c>
      <c r="Q421" s="37">
        <v>0.2308</v>
      </c>
      <c r="R421" s="107">
        <v>0.6667</v>
      </c>
      <c r="S421" s="42"/>
      <c r="T421" s="43"/>
      <c r="U421" s="44"/>
      <c r="V421" s="44"/>
      <c r="W421" s="15"/>
      <c r="X421" s="15"/>
    </row>
    <row r="422">
      <c r="A422" s="27" t="s">
        <v>282</v>
      </c>
      <c r="B422" s="31" t="s">
        <v>861</v>
      </c>
      <c r="C422" s="31" t="s">
        <v>46</v>
      </c>
      <c r="D422" s="32">
        <v>18.0</v>
      </c>
      <c r="E422" s="34">
        <v>3.0</v>
      </c>
      <c r="F422" s="32">
        <v>11.0</v>
      </c>
      <c r="G422" s="32">
        <v>4.0</v>
      </c>
      <c r="H422" s="32">
        <v>21.0</v>
      </c>
      <c r="I422" s="34">
        <v>7.0</v>
      </c>
      <c r="J422" s="36">
        <v>0.1667</v>
      </c>
      <c r="K422" s="36">
        <v>0.6111</v>
      </c>
      <c r="L422" s="37">
        <v>0.2222</v>
      </c>
      <c r="M422" s="110"/>
      <c r="N422" s="108">
        <v>0.3333</v>
      </c>
      <c r="O422" s="34">
        <v>1.5</v>
      </c>
      <c r="P422" s="32">
        <v>1.17</v>
      </c>
      <c r="Q422" s="37">
        <v>0.7778</v>
      </c>
      <c r="R422" s="107">
        <v>0.2143</v>
      </c>
      <c r="S422" s="42"/>
      <c r="T422" s="43"/>
      <c r="U422" s="44"/>
      <c r="V422" s="44"/>
      <c r="W422" s="15"/>
      <c r="X422" s="15"/>
    </row>
    <row r="423">
      <c r="A423" s="27" t="s">
        <v>326</v>
      </c>
      <c r="B423" s="31" t="s">
        <v>862</v>
      </c>
      <c r="C423" s="31" t="s">
        <v>55</v>
      </c>
      <c r="D423" s="32">
        <v>85.0</v>
      </c>
      <c r="E423" s="34">
        <v>4.0</v>
      </c>
      <c r="F423" s="32">
        <v>38.0</v>
      </c>
      <c r="G423" s="32">
        <v>43.0</v>
      </c>
      <c r="H423" s="32">
        <v>69.0</v>
      </c>
      <c r="I423" s="34">
        <v>27.0</v>
      </c>
      <c r="J423" s="36">
        <v>0.0471</v>
      </c>
      <c r="K423" s="36">
        <v>0.4471</v>
      </c>
      <c r="L423" s="37">
        <v>0.5059</v>
      </c>
      <c r="M423" s="110"/>
      <c r="N423" s="108">
        <v>0.3913</v>
      </c>
      <c r="O423" s="34">
        <v>1.64</v>
      </c>
      <c r="P423" s="32">
        <v>0.81</v>
      </c>
      <c r="Q423" s="37">
        <v>0.4941</v>
      </c>
      <c r="R423" s="107">
        <v>0.0952</v>
      </c>
      <c r="S423" s="42"/>
      <c r="T423" s="43"/>
      <c r="U423" s="44"/>
      <c r="V423" s="44"/>
      <c r="W423" s="15"/>
      <c r="X423" s="15"/>
    </row>
    <row r="424">
      <c r="A424" s="27" t="s">
        <v>392</v>
      </c>
      <c r="B424" s="31" t="s">
        <v>863</v>
      </c>
      <c r="C424" s="31" t="s">
        <v>46</v>
      </c>
      <c r="D424" s="32">
        <v>23.0</v>
      </c>
      <c r="E424" s="34">
        <v>4.0</v>
      </c>
      <c r="F424" s="32">
        <v>3.0</v>
      </c>
      <c r="G424" s="32">
        <v>16.0</v>
      </c>
      <c r="H424" s="32">
        <v>19.0</v>
      </c>
      <c r="I424" s="34">
        <v>12.0</v>
      </c>
      <c r="J424" s="36">
        <v>0.1739</v>
      </c>
      <c r="K424" s="36">
        <v>0.1304</v>
      </c>
      <c r="L424" s="37">
        <v>0.6957</v>
      </c>
      <c r="M424" s="110"/>
      <c r="N424" s="108">
        <v>0.6316</v>
      </c>
      <c r="O424" s="34">
        <v>2.71</v>
      </c>
      <c r="P424" s="32">
        <v>0.83</v>
      </c>
      <c r="Q424" s="37">
        <v>0.3043</v>
      </c>
      <c r="R424" s="107">
        <v>0.5714</v>
      </c>
      <c r="S424" s="42"/>
      <c r="T424" s="43"/>
      <c r="U424" s="44"/>
      <c r="V424" s="44"/>
      <c r="W424" s="15"/>
      <c r="X424" s="15"/>
    </row>
    <row r="425">
      <c r="A425" s="27" t="s">
        <v>473</v>
      </c>
      <c r="B425" s="31" t="s">
        <v>864</v>
      </c>
      <c r="C425" s="31" t="s">
        <v>31</v>
      </c>
      <c r="D425" s="32">
        <v>37.0</v>
      </c>
      <c r="E425" s="34">
        <v>21.0</v>
      </c>
      <c r="F425" s="32">
        <v>14.0</v>
      </c>
      <c r="G425" s="32">
        <v>2.0</v>
      </c>
      <c r="H425" s="32">
        <v>81.0</v>
      </c>
      <c r="I425" s="34">
        <v>46.0</v>
      </c>
      <c r="J425" s="36">
        <v>0.5676</v>
      </c>
      <c r="K425" s="36">
        <v>0.3784</v>
      </c>
      <c r="L425" s="37">
        <v>0.0541</v>
      </c>
      <c r="M425" s="110"/>
      <c r="N425" s="108">
        <v>0.5679</v>
      </c>
      <c r="O425" s="34">
        <v>2.31</v>
      </c>
      <c r="P425" s="32">
        <v>2.19</v>
      </c>
      <c r="Q425" s="37">
        <v>0.9459</v>
      </c>
      <c r="R425" s="107">
        <v>0.6</v>
      </c>
      <c r="S425" s="42"/>
      <c r="T425" s="43"/>
      <c r="U425" s="44"/>
      <c r="V425" s="44"/>
      <c r="W425" s="15"/>
      <c r="X425" s="15"/>
    </row>
    <row r="426">
      <c r="A426" s="27" t="s">
        <v>336</v>
      </c>
      <c r="B426" s="31" t="s">
        <v>865</v>
      </c>
      <c r="C426" s="31" t="s">
        <v>98</v>
      </c>
      <c r="D426" s="32">
        <v>370.0</v>
      </c>
      <c r="E426" s="34">
        <v>164.0</v>
      </c>
      <c r="F426" s="32">
        <v>153.0</v>
      </c>
      <c r="G426" s="32">
        <v>53.0</v>
      </c>
      <c r="H426" s="32">
        <v>774.0</v>
      </c>
      <c r="I426" s="34">
        <v>457.0</v>
      </c>
      <c r="J426" s="36">
        <v>0.4432</v>
      </c>
      <c r="K426" s="36">
        <v>0.4135</v>
      </c>
      <c r="L426" s="37">
        <v>0.1432</v>
      </c>
      <c r="M426" s="110"/>
      <c r="N426" s="108">
        <v>0.5904</v>
      </c>
      <c r="O426" s="34">
        <v>2.44</v>
      </c>
      <c r="P426" s="32">
        <v>2.09</v>
      </c>
      <c r="Q426" s="37">
        <v>0.8568</v>
      </c>
      <c r="R426" s="107">
        <v>0.5174</v>
      </c>
      <c r="S426" s="42"/>
      <c r="T426" s="43"/>
      <c r="U426" s="44"/>
      <c r="V426" s="44"/>
      <c r="W426" s="15"/>
      <c r="X426" s="15"/>
    </row>
    <row r="427">
      <c r="A427" s="27" t="s">
        <v>239</v>
      </c>
      <c r="B427" s="31" t="s">
        <v>866</v>
      </c>
      <c r="C427" s="31" t="s">
        <v>26</v>
      </c>
      <c r="D427" s="32">
        <v>72.0</v>
      </c>
      <c r="E427" s="34">
        <v>32.0</v>
      </c>
      <c r="F427" s="32">
        <v>24.0</v>
      </c>
      <c r="G427" s="32">
        <v>16.0</v>
      </c>
      <c r="H427" s="32">
        <v>160.0</v>
      </c>
      <c r="I427" s="34">
        <v>104.0</v>
      </c>
      <c r="J427" s="36">
        <v>0.4444</v>
      </c>
      <c r="K427" s="36">
        <v>0.3333</v>
      </c>
      <c r="L427" s="37">
        <v>0.2222</v>
      </c>
      <c r="M427" s="110"/>
      <c r="N427" s="108">
        <v>0.65</v>
      </c>
      <c r="O427" s="34">
        <v>2.86</v>
      </c>
      <c r="P427" s="32">
        <v>2.22</v>
      </c>
      <c r="Q427" s="37">
        <v>0.7778</v>
      </c>
      <c r="R427" s="107">
        <v>0.5714</v>
      </c>
      <c r="S427" s="42"/>
      <c r="T427" s="43"/>
      <c r="U427" s="44"/>
      <c r="V427" s="44"/>
      <c r="W427" s="15"/>
      <c r="X427" s="15"/>
    </row>
    <row r="428">
      <c r="A428" s="27" t="s">
        <v>280</v>
      </c>
      <c r="B428" s="31" t="s">
        <v>867</v>
      </c>
      <c r="C428" s="31" t="s">
        <v>42</v>
      </c>
      <c r="D428" s="32">
        <v>184.0</v>
      </c>
      <c r="E428" s="34">
        <v>38.0</v>
      </c>
      <c r="F428" s="32">
        <v>101.0</v>
      </c>
      <c r="G428" s="32">
        <v>45.0</v>
      </c>
      <c r="H428" s="32">
        <v>267.0</v>
      </c>
      <c r="I428" s="34">
        <v>128.0</v>
      </c>
      <c r="J428" s="36">
        <v>0.2065</v>
      </c>
      <c r="K428" s="36">
        <v>0.5489</v>
      </c>
      <c r="L428" s="37">
        <v>0.2446</v>
      </c>
      <c r="M428" s="110"/>
      <c r="N428" s="108">
        <v>0.4794</v>
      </c>
      <c r="O428" s="34">
        <v>1.92</v>
      </c>
      <c r="P428" s="32">
        <v>1.45</v>
      </c>
      <c r="Q428" s="37">
        <v>0.7554</v>
      </c>
      <c r="R428" s="107">
        <v>0.2734</v>
      </c>
      <c r="S428" s="42"/>
      <c r="T428" s="43"/>
      <c r="U428" s="44"/>
      <c r="V428" s="44"/>
      <c r="W428" s="15"/>
      <c r="X428" s="15"/>
    </row>
    <row r="429">
      <c r="A429" s="27" t="s">
        <v>162</v>
      </c>
      <c r="B429" s="31" t="s">
        <v>868</v>
      </c>
      <c r="C429" s="31" t="s">
        <v>42</v>
      </c>
      <c r="D429" s="32">
        <v>58.0</v>
      </c>
      <c r="E429" s="34">
        <v>29.0</v>
      </c>
      <c r="F429" s="32">
        <v>14.0</v>
      </c>
      <c r="G429" s="32">
        <v>15.0</v>
      </c>
      <c r="H429" s="32">
        <v>173.0</v>
      </c>
      <c r="I429" s="34">
        <v>130.0</v>
      </c>
      <c r="J429" s="36">
        <v>0.5</v>
      </c>
      <c r="K429" s="36">
        <v>0.2414</v>
      </c>
      <c r="L429" s="37">
        <v>0.2586</v>
      </c>
      <c r="M429" s="110"/>
      <c r="N429" s="108">
        <v>0.7514</v>
      </c>
      <c r="O429" s="34">
        <v>4.02</v>
      </c>
      <c r="P429" s="32">
        <v>2.98</v>
      </c>
      <c r="Q429" s="37">
        <v>0.7414</v>
      </c>
      <c r="R429" s="107">
        <v>0.6744</v>
      </c>
      <c r="S429" s="42"/>
      <c r="T429" s="43"/>
      <c r="U429" s="44"/>
      <c r="V429" s="44"/>
      <c r="W429" s="15"/>
      <c r="X429" s="15"/>
    </row>
    <row r="430">
      <c r="A430" s="27" t="s">
        <v>234</v>
      </c>
      <c r="B430" s="31" t="s">
        <v>869</v>
      </c>
      <c r="C430" s="31" t="s">
        <v>31</v>
      </c>
      <c r="D430" s="32">
        <v>317.0</v>
      </c>
      <c r="E430" s="34">
        <v>131.0</v>
      </c>
      <c r="F430" s="32">
        <v>117.0</v>
      </c>
      <c r="G430" s="32">
        <v>69.0</v>
      </c>
      <c r="H430" s="32">
        <v>703.0</v>
      </c>
      <c r="I430" s="34">
        <v>455.0</v>
      </c>
      <c r="J430" s="36">
        <v>0.4132</v>
      </c>
      <c r="K430" s="36">
        <v>0.3691</v>
      </c>
      <c r="L430" s="37">
        <v>0.2177</v>
      </c>
      <c r="M430" s="110"/>
      <c r="N430" s="108">
        <v>0.6472</v>
      </c>
      <c r="O430" s="34">
        <v>2.83</v>
      </c>
      <c r="P430" s="32">
        <v>2.22</v>
      </c>
      <c r="Q430" s="37">
        <v>0.7823</v>
      </c>
      <c r="R430" s="107">
        <v>0.5282</v>
      </c>
      <c r="S430" s="42"/>
      <c r="T430" s="43"/>
      <c r="U430" s="44"/>
      <c r="V430" s="44"/>
      <c r="W430" s="15"/>
      <c r="X430" s="15"/>
    </row>
    <row r="431">
      <c r="A431" s="27" t="s">
        <v>192</v>
      </c>
      <c r="B431" s="31" t="s">
        <v>870</v>
      </c>
      <c r="C431" s="31" t="s">
        <v>55</v>
      </c>
      <c r="D431" s="32">
        <v>82.0</v>
      </c>
      <c r="E431" s="34">
        <v>18.0</v>
      </c>
      <c r="F431" s="32">
        <v>32.0</v>
      </c>
      <c r="G431" s="32">
        <v>32.0</v>
      </c>
      <c r="H431" s="32">
        <v>105.0</v>
      </c>
      <c r="I431" s="34">
        <v>55.0</v>
      </c>
      <c r="J431" s="36">
        <v>0.2195</v>
      </c>
      <c r="K431" s="36">
        <v>0.3902</v>
      </c>
      <c r="L431" s="37">
        <v>0.3902</v>
      </c>
      <c r="M431" s="110"/>
      <c r="N431" s="108">
        <v>0.5238</v>
      </c>
      <c r="O431" s="34">
        <v>2.1</v>
      </c>
      <c r="P431" s="32">
        <v>1.28</v>
      </c>
      <c r="Q431" s="37">
        <v>0.6098</v>
      </c>
      <c r="R431" s="107">
        <v>0.36</v>
      </c>
      <c r="S431" s="42"/>
      <c r="T431" s="43"/>
      <c r="U431" s="44"/>
      <c r="V431" s="44"/>
      <c r="W431" s="15"/>
      <c r="X431" s="15"/>
    </row>
    <row r="432">
      <c r="A432" s="27" t="s">
        <v>483</v>
      </c>
      <c r="B432" s="31" t="s">
        <v>871</v>
      </c>
      <c r="C432" s="31" t="s">
        <v>33</v>
      </c>
      <c r="D432" s="32">
        <v>11.0</v>
      </c>
      <c r="E432" s="34">
        <v>4.0</v>
      </c>
      <c r="F432" s="32">
        <v>6.0</v>
      </c>
      <c r="G432" s="32">
        <v>1.0</v>
      </c>
      <c r="H432" s="32">
        <v>15.0</v>
      </c>
      <c r="I432" s="34">
        <v>5.0</v>
      </c>
      <c r="J432" s="36">
        <v>0.3636</v>
      </c>
      <c r="K432" s="36">
        <v>0.5455</v>
      </c>
      <c r="L432" s="37">
        <v>0.0909</v>
      </c>
      <c r="M432" s="110"/>
      <c r="N432" s="108">
        <v>0.3333</v>
      </c>
      <c r="O432" s="34">
        <v>1.5</v>
      </c>
      <c r="P432" s="32">
        <v>1.36</v>
      </c>
      <c r="Q432" s="37">
        <v>0.9091</v>
      </c>
      <c r="R432" s="107">
        <v>0.4</v>
      </c>
      <c r="S432" s="42"/>
      <c r="T432" s="43"/>
      <c r="U432" s="44"/>
      <c r="V432" s="44"/>
      <c r="W432" s="15"/>
      <c r="X432" s="15"/>
    </row>
    <row r="433">
      <c r="A433" s="27" t="s">
        <v>548</v>
      </c>
      <c r="B433" s="31" t="s">
        <v>872</v>
      </c>
      <c r="C433" s="31" t="s">
        <v>31</v>
      </c>
      <c r="D433" s="32">
        <v>22.0</v>
      </c>
      <c r="E433" s="34">
        <v>3.0</v>
      </c>
      <c r="F433" s="32">
        <v>13.0</v>
      </c>
      <c r="G433" s="32">
        <v>6.0</v>
      </c>
      <c r="H433" s="32">
        <v>20.0</v>
      </c>
      <c r="I433" s="34">
        <v>4.0</v>
      </c>
      <c r="J433" s="36">
        <v>0.1364</v>
      </c>
      <c r="K433" s="36">
        <v>0.5909</v>
      </c>
      <c r="L433" s="37">
        <v>0.2727</v>
      </c>
      <c r="M433" s="110"/>
      <c r="N433" s="108">
        <v>0.2</v>
      </c>
      <c r="O433" s="34">
        <v>1.25</v>
      </c>
      <c r="P433" s="32">
        <v>0.91</v>
      </c>
      <c r="Q433" s="37">
        <v>0.7273</v>
      </c>
      <c r="R433" s="107">
        <v>0.1875</v>
      </c>
      <c r="S433" s="42"/>
      <c r="T433" s="43"/>
      <c r="U433" s="44"/>
      <c r="V433" s="44"/>
      <c r="W433" s="15"/>
      <c r="X433" s="15"/>
    </row>
    <row r="434">
      <c r="A434" s="27" t="s">
        <v>245</v>
      </c>
      <c r="B434" s="31" t="s">
        <v>873</v>
      </c>
      <c r="C434" s="31" t="s">
        <v>26</v>
      </c>
      <c r="D434" s="32">
        <v>95.0</v>
      </c>
      <c r="E434" s="34">
        <v>40.0</v>
      </c>
      <c r="F434" s="32">
        <v>19.0</v>
      </c>
      <c r="G434" s="32">
        <v>36.0</v>
      </c>
      <c r="H434" s="32">
        <v>324.0</v>
      </c>
      <c r="I434" s="34">
        <v>265.0</v>
      </c>
      <c r="J434" s="36">
        <v>0.4211</v>
      </c>
      <c r="K434" s="36">
        <v>0.2</v>
      </c>
      <c r="L434" s="37">
        <v>0.3789</v>
      </c>
      <c r="M434" s="110"/>
      <c r="N434" s="108">
        <v>0.8179</v>
      </c>
      <c r="O434" s="34">
        <v>5.49</v>
      </c>
      <c r="P434" s="32">
        <v>3.41</v>
      </c>
      <c r="Q434" s="37">
        <v>0.6211</v>
      </c>
      <c r="R434" s="107">
        <v>0.678</v>
      </c>
      <c r="S434" s="42"/>
      <c r="T434" s="43"/>
      <c r="U434" s="44"/>
      <c r="V434" s="44"/>
      <c r="W434" s="15"/>
      <c r="X434" s="15"/>
    </row>
    <row r="435">
      <c r="A435" s="27" t="s">
        <v>582</v>
      </c>
      <c r="B435" s="31" t="s">
        <v>874</v>
      </c>
      <c r="C435" s="31" t="s">
        <v>26</v>
      </c>
      <c r="D435" s="32">
        <v>49.0</v>
      </c>
      <c r="E435" s="34">
        <v>9.0</v>
      </c>
      <c r="F435" s="32">
        <v>11.0</v>
      </c>
      <c r="G435" s="32">
        <v>29.0</v>
      </c>
      <c r="H435" s="32">
        <v>72.0</v>
      </c>
      <c r="I435" s="34">
        <v>52.0</v>
      </c>
      <c r="J435" s="36">
        <v>0.1837</v>
      </c>
      <c r="K435" s="36">
        <v>0.2245</v>
      </c>
      <c r="L435" s="37">
        <v>0.5918</v>
      </c>
      <c r="M435" s="110"/>
      <c r="N435" s="108">
        <v>0.7222</v>
      </c>
      <c r="O435" s="34">
        <v>3.6</v>
      </c>
      <c r="P435" s="32">
        <v>1.47</v>
      </c>
      <c r="Q435" s="37">
        <v>0.4082</v>
      </c>
      <c r="R435" s="107">
        <v>0.45</v>
      </c>
      <c r="S435" s="42"/>
      <c r="T435" s="43"/>
      <c r="U435" s="44"/>
      <c r="V435" s="44"/>
      <c r="W435" s="15"/>
      <c r="X435" s="15"/>
    </row>
    <row r="436">
      <c r="A436" s="27" t="s">
        <v>27</v>
      </c>
      <c r="B436" s="31" t="s">
        <v>875</v>
      </c>
      <c r="C436" s="31" t="s">
        <v>55</v>
      </c>
      <c r="D436" s="32">
        <v>20.0</v>
      </c>
      <c r="E436" s="34">
        <v>0.0</v>
      </c>
      <c r="F436" s="32">
        <v>5.0</v>
      </c>
      <c r="G436" s="32">
        <v>15.0</v>
      </c>
      <c r="H436" s="32">
        <v>5.0</v>
      </c>
      <c r="I436" s="34">
        <v>0.0</v>
      </c>
      <c r="J436" s="36">
        <v>0.0</v>
      </c>
      <c r="K436" s="36">
        <v>0.25</v>
      </c>
      <c r="L436" s="37">
        <v>0.75</v>
      </c>
      <c r="M436" s="110"/>
      <c r="N436" s="108">
        <v>0.0</v>
      </c>
      <c r="O436" s="34">
        <v>1.0</v>
      </c>
      <c r="P436" s="32">
        <v>0.25</v>
      </c>
      <c r="Q436" s="37">
        <v>0.25</v>
      </c>
      <c r="R436" s="107">
        <v>0.0</v>
      </c>
      <c r="S436" s="42"/>
      <c r="T436" s="43"/>
      <c r="U436" s="44"/>
      <c r="V436" s="44"/>
      <c r="W436" s="15"/>
      <c r="X436" s="15"/>
    </row>
    <row r="437">
      <c r="A437" s="27" t="s">
        <v>140</v>
      </c>
      <c r="B437" s="31" t="s">
        <v>876</v>
      </c>
      <c r="C437" s="31" t="s">
        <v>46</v>
      </c>
      <c r="D437" s="32">
        <v>29.0</v>
      </c>
      <c r="E437" s="34">
        <v>4.0</v>
      </c>
      <c r="F437" s="32">
        <v>9.0</v>
      </c>
      <c r="G437" s="32">
        <v>16.0</v>
      </c>
      <c r="H437" s="32">
        <v>18.0</v>
      </c>
      <c r="I437" s="34">
        <v>5.0</v>
      </c>
      <c r="J437" s="36">
        <v>0.1379</v>
      </c>
      <c r="K437" s="36">
        <v>0.3103</v>
      </c>
      <c r="L437" s="37">
        <v>0.5517</v>
      </c>
      <c r="M437" s="110"/>
      <c r="N437" s="108">
        <v>0.2778</v>
      </c>
      <c r="O437" s="34">
        <v>1.38</v>
      </c>
      <c r="P437" s="32">
        <v>0.62</v>
      </c>
      <c r="Q437" s="37">
        <v>0.4483</v>
      </c>
      <c r="R437" s="107">
        <v>0.3077</v>
      </c>
      <c r="S437" s="42"/>
      <c r="T437" s="43"/>
      <c r="U437" s="44"/>
      <c r="V437" s="44"/>
      <c r="W437" s="15"/>
      <c r="X437" s="15"/>
    </row>
    <row r="438">
      <c r="A438" s="27" t="s">
        <v>125</v>
      </c>
      <c r="B438" s="31" t="s">
        <v>877</v>
      </c>
      <c r="C438" s="31" t="s">
        <v>42</v>
      </c>
      <c r="D438" s="32">
        <v>242.0</v>
      </c>
      <c r="E438" s="34">
        <v>27.0</v>
      </c>
      <c r="F438" s="32">
        <v>120.0</v>
      </c>
      <c r="G438" s="32">
        <v>95.0</v>
      </c>
      <c r="H438" s="32">
        <v>197.0</v>
      </c>
      <c r="I438" s="34">
        <v>50.0</v>
      </c>
      <c r="J438" s="36">
        <v>0.1116</v>
      </c>
      <c r="K438" s="36">
        <v>0.4959</v>
      </c>
      <c r="L438" s="37">
        <v>0.3926</v>
      </c>
      <c r="M438" s="110"/>
      <c r="N438" s="108">
        <v>0.2538</v>
      </c>
      <c r="O438" s="34">
        <v>1.34</v>
      </c>
      <c r="P438" s="32">
        <v>0.81</v>
      </c>
      <c r="Q438" s="37">
        <v>0.6074</v>
      </c>
      <c r="R438" s="107">
        <v>0.1837</v>
      </c>
      <c r="S438" s="42"/>
      <c r="T438" s="43"/>
      <c r="U438" s="44"/>
      <c r="V438" s="44"/>
      <c r="W438" s="15"/>
      <c r="X438" s="15"/>
    </row>
    <row r="439">
      <c r="A439" s="27" t="s">
        <v>474</v>
      </c>
      <c r="B439" s="31" t="s">
        <v>878</v>
      </c>
      <c r="C439" s="31" t="s">
        <v>98</v>
      </c>
      <c r="D439" s="32">
        <v>48.0</v>
      </c>
      <c r="E439" s="34">
        <v>19.0</v>
      </c>
      <c r="F439" s="32">
        <v>21.0</v>
      </c>
      <c r="G439" s="32">
        <v>8.0</v>
      </c>
      <c r="H439" s="32">
        <v>380.0</v>
      </c>
      <c r="I439" s="34">
        <v>340.0</v>
      </c>
      <c r="J439" s="36">
        <v>0.3958</v>
      </c>
      <c r="K439" s="36">
        <v>0.4375</v>
      </c>
      <c r="L439" s="37">
        <v>0.1667</v>
      </c>
      <c r="M439" s="110"/>
      <c r="N439" s="108">
        <v>0.8947</v>
      </c>
      <c r="O439" s="34">
        <v>9.5</v>
      </c>
      <c r="P439" s="32">
        <v>7.92</v>
      </c>
      <c r="Q439" s="37">
        <v>0.8333</v>
      </c>
      <c r="R439" s="107">
        <v>0.475</v>
      </c>
      <c r="S439" s="42"/>
      <c r="T439" s="43"/>
      <c r="U439" s="44"/>
      <c r="V439" s="44"/>
      <c r="W439" s="15"/>
      <c r="X439" s="15"/>
    </row>
    <row r="440">
      <c r="A440" s="27" t="s">
        <v>343</v>
      </c>
      <c r="B440" s="31" t="s">
        <v>879</v>
      </c>
      <c r="C440" s="31" t="s">
        <v>26</v>
      </c>
      <c r="D440" s="32">
        <v>63.0</v>
      </c>
      <c r="E440" s="34">
        <v>23.0</v>
      </c>
      <c r="F440" s="32">
        <v>30.0</v>
      </c>
      <c r="G440" s="32">
        <v>10.0</v>
      </c>
      <c r="H440" s="32">
        <v>102.0</v>
      </c>
      <c r="I440" s="34">
        <v>49.0</v>
      </c>
      <c r="J440" s="36">
        <v>0.3651</v>
      </c>
      <c r="K440" s="36">
        <v>0.4762</v>
      </c>
      <c r="L440" s="37">
        <v>0.1587</v>
      </c>
      <c r="M440" s="110"/>
      <c r="N440" s="108">
        <v>0.4804</v>
      </c>
      <c r="O440" s="34">
        <v>1.92</v>
      </c>
      <c r="P440" s="32">
        <v>1.62</v>
      </c>
      <c r="Q440" s="37">
        <v>0.8413</v>
      </c>
      <c r="R440" s="107">
        <v>0.434</v>
      </c>
      <c r="S440" s="42"/>
      <c r="T440" s="43"/>
      <c r="U440" s="44"/>
      <c r="V440" s="44"/>
      <c r="W440" s="15"/>
      <c r="X440" s="15"/>
    </row>
    <row r="441">
      <c r="A441" s="27" t="s">
        <v>549</v>
      </c>
      <c r="B441" s="31" t="s">
        <v>880</v>
      </c>
      <c r="C441" s="31" t="s">
        <v>124</v>
      </c>
      <c r="D441" s="32">
        <v>134.0</v>
      </c>
      <c r="E441" s="34">
        <v>12.0</v>
      </c>
      <c r="F441" s="32">
        <v>56.0</v>
      </c>
      <c r="G441" s="32">
        <v>66.0</v>
      </c>
      <c r="H441" s="32">
        <v>83.0</v>
      </c>
      <c r="I441" s="34">
        <v>15.0</v>
      </c>
      <c r="J441" s="36">
        <v>0.0896</v>
      </c>
      <c r="K441" s="36">
        <v>0.4179</v>
      </c>
      <c r="L441" s="37">
        <v>0.4925</v>
      </c>
      <c r="M441" s="110"/>
      <c r="N441" s="108">
        <v>0.1807</v>
      </c>
      <c r="O441" s="34">
        <v>1.22</v>
      </c>
      <c r="P441" s="32">
        <v>0.62</v>
      </c>
      <c r="Q441" s="37">
        <v>0.5075</v>
      </c>
      <c r="R441" s="107">
        <v>0.1765</v>
      </c>
      <c r="S441" s="42"/>
      <c r="T441" s="43"/>
      <c r="U441" s="44"/>
      <c r="V441" s="44"/>
      <c r="W441" s="15"/>
      <c r="X441" s="15"/>
    </row>
    <row r="442">
      <c r="A442" s="27" t="s">
        <v>268</v>
      </c>
      <c r="B442" s="31" t="s">
        <v>881</v>
      </c>
      <c r="C442" s="31" t="s">
        <v>98</v>
      </c>
      <c r="D442" s="32">
        <v>45.0</v>
      </c>
      <c r="E442" s="34">
        <v>16.0</v>
      </c>
      <c r="F442" s="32">
        <v>17.0</v>
      </c>
      <c r="G442" s="32">
        <v>12.0</v>
      </c>
      <c r="H442" s="32">
        <v>75.0</v>
      </c>
      <c r="I442" s="34">
        <v>42.0</v>
      </c>
      <c r="J442" s="36">
        <v>0.3556</v>
      </c>
      <c r="K442" s="36">
        <v>0.3778</v>
      </c>
      <c r="L442" s="37">
        <v>0.2667</v>
      </c>
      <c r="M442" s="110"/>
      <c r="N442" s="108">
        <v>0.56</v>
      </c>
      <c r="O442" s="34">
        <v>2.27</v>
      </c>
      <c r="P442" s="32">
        <v>1.67</v>
      </c>
      <c r="Q442" s="37">
        <v>0.7333</v>
      </c>
      <c r="R442" s="107">
        <v>0.4848</v>
      </c>
      <c r="S442" s="42"/>
      <c r="T442" s="43"/>
      <c r="U442" s="44"/>
      <c r="V442" s="44"/>
      <c r="W442" s="15"/>
      <c r="X442" s="15"/>
    </row>
    <row r="443">
      <c r="A443" s="27" t="s">
        <v>185</v>
      </c>
      <c r="B443" s="31" t="s">
        <v>882</v>
      </c>
      <c r="C443" s="31" t="s">
        <v>46</v>
      </c>
      <c r="D443" s="32">
        <v>36.0</v>
      </c>
      <c r="E443" s="34">
        <v>10.0</v>
      </c>
      <c r="F443" s="32">
        <v>15.0</v>
      </c>
      <c r="G443" s="32">
        <v>11.0</v>
      </c>
      <c r="H443" s="32">
        <v>42.0</v>
      </c>
      <c r="I443" s="34">
        <v>17.0</v>
      </c>
      <c r="J443" s="36">
        <v>0.2778</v>
      </c>
      <c r="K443" s="36">
        <v>0.4167</v>
      </c>
      <c r="L443" s="37">
        <v>0.3056</v>
      </c>
      <c r="M443" s="110"/>
      <c r="N443" s="108">
        <v>0.4048</v>
      </c>
      <c r="O443" s="34">
        <v>1.68</v>
      </c>
      <c r="P443" s="32">
        <v>1.17</v>
      </c>
      <c r="Q443" s="37">
        <v>0.6944</v>
      </c>
      <c r="R443" s="107">
        <v>0.4</v>
      </c>
      <c r="S443" s="42"/>
      <c r="T443" s="43"/>
      <c r="U443" s="44"/>
      <c r="V443" s="44"/>
      <c r="W443" s="15"/>
      <c r="X443" s="15"/>
    </row>
    <row r="444">
      <c r="A444" s="27" t="s">
        <v>223</v>
      </c>
      <c r="B444" s="31" t="s">
        <v>883</v>
      </c>
      <c r="C444" s="31" t="s">
        <v>31</v>
      </c>
      <c r="D444" s="32">
        <v>129.0</v>
      </c>
      <c r="E444" s="34">
        <v>48.0</v>
      </c>
      <c r="F444" s="32">
        <v>59.0</v>
      </c>
      <c r="G444" s="32">
        <v>22.0</v>
      </c>
      <c r="H444" s="32">
        <v>339.0</v>
      </c>
      <c r="I444" s="34">
        <v>232.0</v>
      </c>
      <c r="J444" s="36">
        <v>0.3721</v>
      </c>
      <c r="K444" s="36">
        <v>0.4574</v>
      </c>
      <c r="L444" s="37">
        <v>0.1705</v>
      </c>
      <c r="M444" s="110"/>
      <c r="N444" s="108">
        <v>0.6844</v>
      </c>
      <c r="O444" s="34">
        <v>3.17</v>
      </c>
      <c r="P444" s="32">
        <v>2.63</v>
      </c>
      <c r="Q444" s="37">
        <v>0.8295</v>
      </c>
      <c r="R444" s="107">
        <v>0.4486</v>
      </c>
      <c r="S444" s="42"/>
      <c r="T444" s="43"/>
      <c r="U444" s="44"/>
      <c r="V444" s="44"/>
      <c r="W444" s="15"/>
      <c r="X444" s="15"/>
    </row>
    <row r="445">
      <c r="A445" s="27" t="s">
        <v>491</v>
      </c>
      <c r="B445" s="31" t="s">
        <v>884</v>
      </c>
      <c r="C445" s="31" t="s">
        <v>33</v>
      </c>
      <c r="D445" s="32">
        <v>21.0</v>
      </c>
      <c r="E445" s="34">
        <v>0.0</v>
      </c>
      <c r="F445" s="32">
        <v>3.0</v>
      </c>
      <c r="G445" s="32">
        <v>18.0</v>
      </c>
      <c r="H445" s="32">
        <v>3.0</v>
      </c>
      <c r="I445" s="34">
        <v>0.0</v>
      </c>
      <c r="J445" s="36">
        <v>0.0</v>
      </c>
      <c r="K445" s="36">
        <v>0.1429</v>
      </c>
      <c r="L445" s="37">
        <v>0.8571</v>
      </c>
      <c r="M445" s="110"/>
      <c r="N445" s="108">
        <v>0.0</v>
      </c>
      <c r="O445" s="34">
        <v>1.0</v>
      </c>
      <c r="P445" s="32">
        <v>0.14</v>
      </c>
      <c r="Q445" s="37">
        <v>0.1429</v>
      </c>
      <c r="R445" s="107">
        <v>0.0</v>
      </c>
      <c r="S445" s="42"/>
      <c r="T445" s="43"/>
      <c r="U445" s="44"/>
      <c r="V445" s="44"/>
      <c r="W445" s="15"/>
      <c r="X445" s="15"/>
    </row>
    <row r="446">
      <c r="A446" s="27" t="s">
        <v>133</v>
      </c>
      <c r="B446" s="31" t="s">
        <v>885</v>
      </c>
      <c r="C446" s="31" t="s">
        <v>42</v>
      </c>
      <c r="D446" s="32">
        <v>21.0</v>
      </c>
      <c r="E446" s="34">
        <v>4.0</v>
      </c>
      <c r="F446" s="32">
        <v>8.0</v>
      </c>
      <c r="G446" s="32">
        <v>9.0</v>
      </c>
      <c r="H446" s="32">
        <v>24.0</v>
      </c>
      <c r="I446" s="34">
        <v>12.0</v>
      </c>
      <c r="J446" s="36">
        <v>0.1905</v>
      </c>
      <c r="K446" s="36">
        <v>0.381</v>
      </c>
      <c r="L446" s="37">
        <v>0.4286</v>
      </c>
      <c r="M446" s="110"/>
      <c r="N446" s="108">
        <v>0.5</v>
      </c>
      <c r="O446" s="34">
        <v>2.0</v>
      </c>
      <c r="P446" s="32">
        <v>1.14</v>
      </c>
      <c r="Q446" s="37">
        <v>0.5714</v>
      </c>
      <c r="R446" s="107">
        <v>0.3333</v>
      </c>
      <c r="S446" s="42"/>
      <c r="T446" s="43"/>
      <c r="U446" s="44"/>
      <c r="V446" s="44"/>
      <c r="W446" s="15"/>
      <c r="X446" s="15"/>
    </row>
    <row r="447">
      <c r="A447" s="27" t="s">
        <v>575</v>
      </c>
      <c r="B447" s="31" t="s">
        <v>886</v>
      </c>
      <c r="C447" s="31" t="s">
        <v>98</v>
      </c>
      <c r="D447" s="32">
        <v>8.0</v>
      </c>
      <c r="E447" s="34">
        <v>0.0</v>
      </c>
      <c r="F447" s="32">
        <v>1.0</v>
      </c>
      <c r="G447" s="32">
        <v>7.0</v>
      </c>
      <c r="H447" s="32">
        <v>1.0</v>
      </c>
      <c r="I447" s="34">
        <v>0.0</v>
      </c>
      <c r="J447" s="36">
        <v>0.0</v>
      </c>
      <c r="K447" s="36">
        <v>0.125</v>
      </c>
      <c r="L447" s="37">
        <v>0.875</v>
      </c>
      <c r="M447" s="110"/>
      <c r="N447" s="108">
        <v>0.0</v>
      </c>
      <c r="O447" s="34">
        <v>1.0</v>
      </c>
      <c r="P447" s="32">
        <v>0.13</v>
      </c>
      <c r="Q447" s="37">
        <v>0.125</v>
      </c>
      <c r="R447" s="107">
        <v>0.0</v>
      </c>
      <c r="S447" s="42"/>
      <c r="T447" s="43"/>
      <c r="U447" s="44"/>
      <c r="V447" s="44"/>
      <c r="W447" s="15"/>
      <c r="X447" s="15"/>
    </row>
    <row r="448">
      <c r="A448" s="27" t="s">
        <v>552</v>
      </c>
      <c r="B448" s="31" t="s">
        <v>887</v>
      </c>
      <c r="C448" s="31" t="s">
        <v>124</v>
      </c>
      <c r="D448" s="32">
        <v>38.0</v>
      </c>
      <c r="E448" s="34">
        <v>4.0</v>
      </c>
      <c r="F448" s="32">
        <v>8.0</v>
      </c>
      <c r="G448" s="32">
        <v>26.0</v>
      </c>
      <c r="H448" s="32">
        <v>20.0</v>
      </c>
      <c r="I448" s="34">
        <v>8.0</v>
      </c>
      <c r="J448" s="36">
        <v>0.1053</v>
      </c>
      <c r="K448" s="36">
        <v>0.2105</v>
      </c>
      <c r="L448" s="37">
        <v>0.6842</v>
      </c>
      <c r="M448" s="110"/>
      <c r="N448" s="108">
        <v>0.4</v>
      </c>
      <c r="O448" s="34">
        <v>1.67</v>
      </c>
      <c r="P448" s="32">
        <v>0.53</v>
      </c>
      <c r="Q448" s="37">
        <v>0.3158</v>
      </c>
      <c r="R448" s="107">
        <v>0.3333</v>
      </c>
      <c r="S448" s="42"/>
      <c r="T448" s="43"/>
      <c r="U448" s="44"/>
      <c r="V448" s="44"/>
      <c r="W448" s="15"/>
      <c r="X448" s="15"/>
    </row>
    <row r="449">
      <c r="A449" s="27" t="s">
        <v>134</v>
      </c>
      <c r="B449" s="31" t="s">
        <v>888</v>
      </c>
      <c r="C449" s="31" t="s">
        <v>33</v>
      </c>
      <c r="D449" s="32">
        <v>45.0</v>
      </c>
      <c r="E449" s="34">
        <v>6.0</v>
      </c>
      <c r="F449" s="32">
        <v>29.0</v>
      </c>
      <c r="G449" s="32">
        <v>10.0</v>
      </c>
      <c r="H449" s="32">
        <v>42.0</v>
      </c>
      <c r="I449" s="34">
        <v>7.0</v>
      </c>
      <c r="J449" s="36">
        <v>0.1333</v>
      </c>
      <c r="K449" s="36">
        <v>0.6444</v>
      </c>
      <c r="L449" s="37">
        <v>0.2222</v>
      </c>
      <c r="M449" s="110"/>
      <c r="N449" s="108">
        <v>0.1667</v>
      </c>
      <c r="O449" s="34">
        <v>1.2</v>
      </c>
      <c r="P449" s="32">
        <v>0.93</v>
      </c>
      <c r="Q449" s="37">
        <v>0.7778</v>
      </c>
      <c r="R449" s="107">
        <v>0.1714</v>
      </c>
      <c r="S449" s="42"/>
      <c r="T449" s="43"/>
      <c r="U449" s="44"/>
      <c r="V449" s="44"/>
      <c r="W449" s="15"/>
      <c r="X449" s="15"/>
    </row>
    <row r="450">
      <c r="A450" s="27" t="s">
        <v>495</v>
      </c>
      <c r="B450" s="31" t="s">
        <v>889</v>
      </c>
      <c r="C450" s="31" t="s">
        <v>124</v>
      </c>
      <c r="D450" s="32">
        <v>17.0</v>
      </c>
      <c r="E450" s="34">
        <v>4.0</v>
      </c>
      <c r="F450" s="32">
        <v>7.0</v>
      </c>
      <c r="G450" s="32">
        <v>6.0</v>
      </c>
      <c r="H450" s="32">
        <v>18.0</v>
      </c>
      <c r="I450" s="34">
        <v>7.0</v>
      </c>
      <c r="J450" s="36">
        <v>0.2353</v>
      </c>
      <c r="K450" s="36">
        <v>0.4118</v>
      </c>
      <c r="L450" s="37">
        <v>0.3529</v>
      </c>
      <c r="M450" s="110"/>
      <c r="N450" s="108">
        <v>0.3889</v>
      </c>
      <c r="O450" s="34">
        <v>1.64</v>
      </c>
      <c r="P450" s="32">
        <v>1.06</v>
      </c>
      <c r="Q450" s="37">
        <v>0.6471</v>
      </c>
      <c r="R450" s="107">
        <v>0.3636</v>
      </c>
      <c r="S450" s="42"/>
      <c r="T450" s="43"/>
      <c r="U450" s="44"/>
      <c r="V450" s="44"/>
      <c r="W450" s="15"/>
      <c r="X450" s="15"/>
    </row>
    <row r="451">
      <c r="A451" s="27" t="s">
        <v>346</v>
      </c>
      <c r="B451" s="31" t="s">
        <v>890</v>
      </c>
      <c r="C451" s="31" t="s">
        <v>33</v>
      </c>
      <c r="D451" s="32">
        <v>72.0</v>
      </c>
      <c r="E451" s="34">
        <v>52.0</v>
      </c>
      <c r="F451" s="32">
        <v>11.0</v>
      </c>
      <c r="G451" s="32">
        <v>9.0</v>
      </c>
      <c r="H451" s="32">
        <v>237.0</v>
      </c>
      <c r="I451" s="34">
        <v>174.0</v>
      </c>
      <c r="J451" s="36">
        <v>0.7222</v>
      </c>
      <c r="K451" s="36">
        <v>0.1528</v>
      </c>
      <c r="L451" s="37">
        <v>0.125</v>
      </c>
      <c r="M451" s="110"/>
      <c r="N451" s="108">
        <v>0.7342</v>
      </c>
      <c r="O451" s="34">
        <v>3.76</v>
      </c>
      <c r="P451" s="32">
        <v>3.29</v>
      </c>
      <c r="Q451" s="37">
        <v>0.875</v>
      </c>
      <c r="R451" s="107">
        <v>0.8254</v>
      </c>
      <c r="S451" s="42"/>
      <c r="T451" s="43"/>
      <c r="U451" s="44"/>
      <c r="V451" s="44"/>
      <c r="W451" s="15"/>
      <c r="X451" s="15"/>
    </row>
    <row r="452">
      <c r="A452" s="27" t="s">
        <v>201</v>
      </c>
      <c r="B452" s="31" t="s">
        <v>891</v>
      </c>
      <c r="C452" s="31" t="s">
        <v>26</v>
      </c>
      <c r="D452" s="32">
        <v>77.0</v>
      </c>
      <c r="E452" s="34">
        <v>21.0</v>
      </c>
      <c r="F452" s="32">
        <v>22.0</v>
      </c>
      <c r="G452" s="32">
        <v>34.0</v>
      </c>
      <c r="H452" s="32">
        <v>103.0</v>
      </c>
      <c r="I452" s="34">
        <v>60.0</v>
      </c>
      <c r="J452" s="36">
        <v>0.2727</v>
      </c>
      <c r="K452" s="36">
        <v>0.2857</v>
      </c>
      <c r="L452" s="37">
        <v>0.4416</v>
      </c>
      <c r="M452" s="110"/>
      <c r="N452" s="108">
        <v>0.5825</v>
      </c>
      <c r="O452" s="34">
        <v>2.4</v>
      </c>
      <c r="P452" s="32">
        <v>1.34</v>
      </c>
      <c r="Q452" s="37">
        <v>0.5584</v>
      </c>
      <c r="R452" s="107">
        <v>0.4884</v>
      </c>
      <c r="S452" s="42"/>
      <c r="T452" s="43"/>
      <c r="U452" s="44"/>
      <c r="V452" s="44"/>
      <c r="W452" s="15"/>
      <c r="X452" s="15"/>
    </row>
    <row r="453">
      <c r="A453" s="27" t="s">
        <v>599</v>
      </c>
      <c r="B453" s="31" t="s">
        <v>892</v>
      </c>
      <c r="C453" s="31" t="s">
        <v>98</v>
      </c>
      <c r="D453" s="32">
        <v>6.0</v>
      </c>
      <c r="E453" s="34">
        <v>1.0</v>
      </c>
      <c r="F453" s="32">
        <v>3.0</v>
      </c>
      <c r="G453" s="32">
        <v>2.0</v>
      </c>
      <c r="H453" s="32">
        <v>5.0</v>
      </c>
      <c r="I453" s="34">
        <v>1.0</v>
      </c>
      <c r="J453" s="36">
        <v>0.1667</v>
      </c>
      <c r="K453" s="36">
        <v>0.5</v>
      </c>
      <c r="L453" s="37">
        <v>0.3333</v>
      </c>
      <c r="M453" s="110"/>
      <c r="N453" s="108">
        <v>0.2</v>
      </c>
      <c r="O453" s="34">
        <v>1.25</v>
      </c>
      <c r="P453" s="32">
        <v>0.83</v>
      </c>
      <c r="Q453" s="37">
        <v>0.6667</v>
      </c>
      <c r="R453" s="107">
        <v>0.25</v>
      </c>
      <c r="S453" s="42"/>
      <c r="T453" s="43"/>
      <c r="U453" s="44"/>
      <c r="V453" s="44"/>
      <c r="W453" s="15"/>
      <c r="X453" s="15"/>
    </row>
    <row r="454">
      <c r="T454" s="55"/>
      <c r="U454" s="44"/>
      <c r="V454" s="44"/>
      <c r="W454" s="15"/>
      <c r="X454" s="15"/>
    </row>
    <row r="455">
      <c r="T455" s="55"/>
      <c r="U455" s="44"/>
      <c r="V455" s="44"/>
      <c r="W455" s="15"/>
      <c r="X455" s="15"/>
    </row>
    <row r="456">
      <c r="T456" s="55"/>
      <c r="U456" s="44"/>
      <c r="V456" s="44"/>
      <c r="W456" s="15"/>
      <c r="X456" s="15"/>
    </row>
    <row r="457">
      <c r="T457" s="43"/>
      <c r="U457" s="44"/>
      <c r="V457" s="44"/>
      <c r="W457" s="15"/>
      <c r="X457" s="15"/>
    </row>
  </sheetData>
  <autoFilter ref="$A$1:$X$202">
    <sortState ref="A1:X202">
      <sortCondition ref="L1:L202"/>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8" t="str">
        <f t="array" ref="A1:A8">{"All"; SORT(UNIQUE('Helper Lists'!C2:C1000))}</f>
        <v>All</v>
      </c>
    </row>
    <row r="2">
      <c r="A2" s="68" t="s">
        <v>62</v>
      </c>
    </row>
    <row r="3">
      <c r="A3" s="68" t="s">
        <v>63</v>
      </c>
    </row>
    <row r="4">
      <c r="A4" s="68" t="s">
        <v>66</v>
      </c>
    </row>
    <row r="5">
      <c r="A5" s="68" t="s">
        <v>67</v>
      </c>
    </row>
    <row r="6">
      <c r="A6" s="68" t="s">
        <v>23</v>
      </c>
    </row>
    <row r="7">
      <c r="A7" s="68" t="s">
        <v>68</v>
      </c>
    </row>
    <row r="8">
      <c r="A8" s="68" t="s">
        <v>69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1" t="str">
        <f t="array" ref="A1:A11">{"All"; SORT(UNIQUE('Data Tab'!C2:C878))}</f>
        <v>All</v>
      </c>
      <c r="B1" s="15" t="str">
        <f t="array" ref="B1:B450">SORT(UNIQUE('Data Tab'!A2:A878))</f>
        <v>3M Company</v>
      </c>
      <c r="C1" s="68" t="str">
        <f t="array" ref="C1:C878">IF(B1:B878="", "", LET(api, VLOOKUP(B1:B878, 'Data Tab'!A:D, 4, FALSE), IF(api="", "", IF(api&lt;=30, "1 - 30 APIs", IF(api&lt;=60, "31 - 60 APIs", IF(api&lt;=100, "61 - 100 APIs", IF(api&lt;=200, "101 - 200 APIs", IF(api&lt;=400, "201 - 400 APIs", "400+ APIs"))))))))</f>
        <v>61 - 100 APIs</v>
      </c>
    </row>
    <row r="2">
      <c r="A2" s="15" t="s">
        <v>113</v>
      </c>
      <c r="B2" s="15" t="s">
        <v>118</v>
      </c>
      <c r="C2" s="68" t="s">
        <v>23</v>
      </c>
    </row>
    <row r="3">
      <c r="A3" s="15" t="s">
        <v>33</v>
      </c>
      <c r="B3" s="15" t="s">
        <v>60</v>
      </c>
      <c r="C3" s="68" t="s">
        <v>67</v>
      </c>
    </row>
    <row r="4">
      <c r="A4" s="15" t="s">
        <v>42</v>
      </c>
      <c r="B4" s="15" t="s">
        <v>121</v>
      </c>
      <c r="C4" s="68" t="s">
        <v>69</v>
      </c>
    </row>
    <row r="5">
      <c r="A5" s="15" t="s">
        <v>46</v>
      </c>
      <c r="B5" s="15" t="s">
        <v>122</v>
      </c>
      <c r="C5" s="68" t="s">
        <v>66</v>
      </c>
    </row>
    <row r="6">
      <c r="A6" s="15" t="s">
        <v>26</v>
      </c>
      <c r="B6" s="15" t="s">
        <v>123</v>
      </c>
      <c r="C6" s="68" t="s">
        <v>67</v>
      </c>
    </row>
    <row r="7">
      <c r="A7" s="15" t="s">
        <v>124</v>
      </c>
      <c r="B7" s="15" t="s">
        <v>125</v>
      </c>
      <c r="C7" s="68" t="s">
        <v>67</v>
      </c>
    </row>
    <row r="8">
      <c r="A8" s="15" t="s">
        <v>31</v>
      </c>
      <c r="B8" s="15" t="s">
        <v>128</v>
      </c>
      <c r="C8" s="68" t="s">
        <v>63</v>
      </c>
    </row>
    <row r="9">
      <c r="A9" s="15" t="s">
        <v>98</v>
      </c>
      <c r="B9" s="15" t="s">
        <v>129</v>
      </c>
      <c r="C9" s="68" t="s">
        <v>63</v>
      </c>
    </row>
    <row r="10">
      <c r="A10" s="16" t="s">
        <v>55</v>
      </c>
      <c r="B10" s="15" t="s">
        <v>130</v>
      </c>
      <c r="C10" s="68" t="s">
        <v>23</v>
      </c>
    </row>
    <row r="11">
      <c r="A11" s="15"/>
      <c r="B11" s="15" t="s">
        <v>133</v>
      </c>
      <c r="C11" s="68" t="s">
        <v>63</v>
      </c>
    </row>
    <row r="12">
      <c r="A12" s="15"/>
      <c r="B12" s="16" t="s">
        <v>134</v>
      </c>
      <c r="C12" s="68" t="s">
        <v>23</v>
      </c>
    </row>
    <row r="13">
      <c r="A13" s="15"/>
      <c r="B13" s="15" t="s">
        <v>135</v>
      </c>
      <c r="C13" s="68" t="s">
        <v>23</v>
      </c>
    </row>
    <row r="14">
      <c r="A14" s="15"/>
      <c r="B14" s="15" t="s">
        <v>136</v>
      </c>
      <c r="C14" s="68" t="s">
        <v>69</v>
      </c>
    </row>
    <row r="15">
      <c r="A15" s="15"/>
      <c r="B15" s="15" t="s">
        <v>137</v>
      </c>
      <c r="C15" s="68" t="s">
        <v>66</v>
      </c>
    </row>
    <row r="16">
      <c r="A16" s="15"/>
      <c r="B16" s="15" t="s">
        <v>140</v>
      </c>
      <c r="C16" s="68" t="s">
        <v>63</v>
      </c>
    </row>
    <row r="17">
      <c r="A17" s="15"/>
      <c r="B17" s="15" t="s">
        <v>141</v>
      </c>
      <c r="C17" s="68" t="s">
        <v>66</v>
      </c>
    </row>
    <row r="18">
      <c r="A18" s="15"/>
      <c r="B18" s="82" t="s">
        <v>142</v>
      </c>
      <c r="C18" s="68" t="s">
        <v>23</v>
      </c>
    </row>
    <row r="19">
      <c r="A19" s="16"/>
      <c r="B19" s="15" t="s">
        <v>145</v>
      </c>
      <c r="C19" s="68" t="s">
        <v>67</v>
      </c>
    </row>
    <row r="20">
      <c r="A20" s="15"/>
      <c r="B20" s="82" t="s">
        <v>146</v>
      </c>
      <c r="C20" s="68" t="s">
        <v>63</v>
      </c>
    </row>
    <row r="21">
      <c r="A21" s="15"/>
      <c r="B21" s="15" t="s">
        <v>147</v>
      </c>
      <c r="C21" s="68" t="s">
        <v>63</v>
      </c>
    </row>
    <row r="22">
      <c r="A22" s="15"/>
      <c r="B22" s="15" t="s">
        <v>82</v>
      </c>
      <c r="C22" s="68" t="s">
        <v>68</v>
      </c>
    </row>
    <row r="23">
      <c r="A23" s="15"/>
      <c r="B23" s="15" t="s">
        <v>84</v>
      </c>
      <c r="C23" s="68" t="s">
        <v>67</v>
      </c>
    </row>
    <row r="24">
      <c r="A24" s="15"/>
      <c r="B24" s="15" t="s">
        <v>150</v>
      </c>
      <c r="C24" s="68" t="s">
        <v>66</v>
      </c>
    </row>
    <row r="25">
      <c r="A25" s="15"/>
      <c r="B25" s="15" t="s">
        <v>151</v>
      </c>
      <c r="C25" s="68" t="s">
        <v>63</v>
      </c>
    </row>
    <row r="26">
      <c r="A26" s="55"/>
      <c r="B26" s="55" t="s">
        <v>152</v>
      </c>
      <c r="C26" s="68" t="s">
        <v>23</v>
      </c>
    </row>
    <row r="27">
      <c r="A27" s="55"/>
      <c r="B27" s="55" t="s">
        <v>154</v>
      </c>
      <c r="C27" s="68" t="s">
        <v>23</v>
      </c>
    </row>
    <row r="28">
      <c r="A28" s="55"/>
      <c r="B28" s="55" t="s">
        <v>155</v>
      </c>
      <c r="C28" s="68" t="s">
        <v>63</v>
      </c>
    </row>
    <row r="29">
      <c r="A29" s="55"/>
      <c r="B29" s="55" t="s">
        <v>143</v>
      </c>
      <c r="C29" s="68" t="s">
        <v>68</v>
      </c>
    </row>
    <row r="30">
      <c r="A30" s="55"/>
      <c r="B30" s="55" t="s">
        <v>47</v>
      </c>
      <c r="C30" s="68" t="s">
        <v>63</v>
      </c>
    </row>
    <row r="31">
      <c r="A31" s="55"/>
      <c r="B31" s="55" t="s">
        <v>27</v>
      </c>
      <c r="C31" s="68" t="s">
        <v>63</v>
      </c>
    </row>
    <row r="32">
      <c r="A32" s="55"/>
      <c r="B32" s="55" t="s">
        <v>156</v>
      </c>
      <c r="C32" s="68" t="s">
        <v>66</v>
      </c>
    </row>
    <row r="33">
      <c r="A33" s="55"/>
      <c r="B33" s="55" t="s">
        <v>159</v>
      </c>
      <c r="C33" s="68" t="s">
        <v>23</v>
      </c>
    </row>
    <row r="34">
      <c r="A34" s="55"/>
      <c r="B34" s="55" t="s">
        <v>160</v>
      </c>
      <c r="C34" s="68" t="s">
        <v>63</v>
      </c>
    </row>
    <row r="35">
      <c r="A35" s="55"/>
      <c r="B35" s="55" t="s">
        <v>161</v>
      </c>
      <c r="C35" s="68" t="s">
        <v>63</v>
      </c>
    </row>
    <row r="36">
      <c r="A36" s="55"/>
      <c r="B36" s="55" t="s">
        <v>162</v>
      </c>
      <c r="C36" s="68" t="s">
        <v>23</v>
      </c>
    </row>
    <row r="37">
      <c r="A37" s="55"/>
      <c r="B37" s="55" t="s">
        <v>163</v>
      </c>
      <c r="C37" s="68" t="s">
        <v>23</v>
      </c>
    </row>
    <row r="38">
      <c r="A38" s="55"/>
      <c r="B38" s="55" t="s">
        <v>164</v>
      </c>
      <c r="C38" s="68" t="s">
        <v>23</v>
      </c>
    </row>
    <row r="39">
      <c r="A39" s="55"/>
      <c r="B39" s="55" t="s">
        <v>165</v>
      </c>
      <c r="C39" s="68" t="s">
        <v>69</v>
      </c>
    </row>
    <row r="40">
      <c r="A40" s="55"/>
      <c r="B40" s="55" t="s">
        <v>166</v>
      </c>
      <c r="C40" s="68" t="s">
        <v>23</v>
      </c>
    </row>
    <row r="41">
      <c r="A41" s="55"/>
      <c r="B41" s="55" t="s">
        <v>169</v>
      </c>
      <c r="C41" s="68" t="s">
        <v>23</v>
      </c>
    </row>
    <row r="42">
      <c r="A42" s="55"/>
      <c r="B42" s="55" t="s">
        <v>170</v>
      </c>
      <c r="C42" s="68" t="s">
        <v>23</v>
      </c>
    </row>
    <row r="43">
      <c r="A43" s="55"/>
      <c r="B43" s="55" t="s">
        <v>171</v>
      </c>
      <c r="C43" s="68" t="s">
        <v>23</v>
      </c>
    </row>
    <row r="44">
      <c r="A44" s="55"/>
      <c r="B44" s="55" t="s">
        <v>172</v>
      </c>
      <c r="C44" s="68" t="s">
        <v>69</v>
      </c>
    </row>
    <row r="45">
      <c r="A45" s="55"/>
      <c r="B45" s="55" t="s">
        <v>173</v>
      </c>
      <c r="C45" s="68" t="s">
        <v>66</v>
      </c>
    </row>
    <row r="46">
      <c r="A46" s="55"/>
      <c r="B46" s="55" t="s">
        <v>175</v>
      </c>
      <c r="C46" s="68" t="s">
        <v>23</v>
      </c>
    </row>
    <row r="47">
      <c r="A47" s="55"/>
      <c r="B47" s="55" t="s">
        <v>177</v>
      </c>
      <c r="C47" s="68" t="s">
        <v>23</v>
      </c>
    </row>
    <row r="48">
      <c r="A48" s="55"/>
      <c r="B48" s="55" t="s">
        <v>178</v>
      </c>
      <c r="C48" s="68" t="s">
        <v>66</v>
      </c>
    </row>
    <row r="49">
      <c r="A49" s="55"/>
      <c r="B49" s="55" t="s">
        <v>179</v>
      </c>
      <c r="C49" s="68" t="s">
        <v>63</v>
      </c>
    </row>
    <row r="50">
      <c r="A50" s="55"/>
      <c r="B50" s="55" t="s">
        <v>180</v>
      </c>
      <c r="C50" s="68" t="s">
        <v>67</v>
      </c>
    </row>
    <row r="51">
      <c r="A51" s="55"/>
      <c r="B51" s="55" t="s">
        <v>181</v>
      </c>
      <c r="C51" s="68" t="s">
        <v>66</v>
      </c>
    </row>
    <row r="52">
      <c r="A52" s="55"/>
      <c r="B52" s="55" t="s">
        <v>184</v>
      </c>
      <c r="C52" s="68" t="s">
        <v>68</v>
      </c>
    </row>
    <row r="53">
      <c r="A53" s="55"/>
      <c r="B53" s="55" t="s">
        <v>185</v>
      </c>
      <c r="C53" s="68" t="s">
        <v>23</v>
      </c>
    </row>
    <row r="54">
      <c r="A54" s="55"/>
      <c r="B54" s="55" t="s">
        <v>186</v>
      </c>
      <c r="C54" s="68" t="s">
        <v>63</v>
      </c>
    </row>
    <row r="55">
      <c r="A55" s="55"/>
      <c r="B55" s="55" t="s">
        <v>187</v>
      </c>
      <c r="C55" s="68" t="s">
        <v>63</v>
      </c>
    </row>
    <row r="56">
      <c r="A56" s="55"/>
      <c r="B56" s="55" t="s">
        <v>188</v>
      </c>
      <c r="C56" s="68" t="s">
        <v>23</v>
      </c>
    </row>
    <row r="57">
      <c r="A57" s="55"/>
      <c r="B57" s="55" t="s">
        <v>191</v>
      </c>
      <c r="C57" s="68" t="s">
        <v>63</v>
      </c>
    </row>
    <row r="58">
      <c r="A58" s="55"/>
      <c r="B58" s="55" t="s">
        <v>192</v>
      </c>
      <c r="C58" s="68" t="s">
        <v>69</v>
      </c>
    </row>
    <row r="59">
      <c r="A59" s="55"/>
      <c r="B59" s="55" t="s">
        <v>193</v>
      </c>
      <c r="C59" s="68" t="s">
        <v>23</v>
      </c>
    </row>
    <row r="60">
      <c r="A60" s="55"/>
      <c r="B60" s="55" t="s">
        <v>194</v>
      </c>
      <c r="C60" s="68" t="s">
        <v>67</v>
      </c>
    </row>
    <row r="61">
      <c r="A61" s="55"/>
      <c r="B61" s="55" t="s">
        <v>197</v>
      </c>
      <c r="C61" s="68" t="s">
        <v>69</v>
      </c>
    </row>
    <row r="62">
      <c r="A62" s="55"/>
      <c r="B62" s="55" t="s">
        <v>198</v>
      </c>
      <c r="C62" s="68" t="s">
        <v>63</v>
      </c>
    </row>
    <row r="63">
      <c r="A63" s="55"/>
      <c r="B63" s="55" t="s">
        <v>199</v>
      </c>
      <c r="C63" s="68" t="s">
        <v>23</v>
      </c>
    </row>
    <row r="64">
      <c r="A64" s="55"/>
      <c r="B64" s="55" t="s">
        <v>200</v>
      </c>
      <c r="C64" s="68" t="s">
        <v>23</v>
      </c>
    </row>
    <row r="65">
      <c r="A65" s="55"/>
      <c r="B65" s="55" t="s">
        <v>201</v>
      </c>
      <c r="C65" s="68" t="s">
        <v>69</v>
      </c>
    </row>
    <row r="66">
      <c r="A66" s="55"/>
      <c r="B66" s="55" t="s">
        <v>202</v>
      </c>
      <c r="C66" s="68" t="s">
        <v>23</v>
      </c>
    </row>
    <row r="67">
      <c r="A67" s="55"/>
      <c r="B67" s="55" t="s">
        <v>205</v>
      </c>
      <c r="C67" s="68" t="s">
        <v>63</v>
      </c>
    </row>
    <row r="68">
      <c r="A68" s="55"/>
      <c r="B68" s="55" t="s">
        <v>74</v>
      </c>
      <c r="C68" s="68" t="s">
        <v>23</v>
      </c>
    </row>
    <row r="69">
      <c r="A69" s="55"/>
      <c r="B69" s="55" t="s">
        <v>106</v>
      </c>
      <c r="C69" s="68" t="s">
        <v>69</v>
      </c>
    </row>
    <row r="70">
      <c r="A70" s="55"/>
      <c r="B70" s="55" t="s">
        <v>206</v>
      </c>
      <c r="C70" s="68" t="s">
        <v>63</v>
      </c>
    </row>
    <row r="71">
      <c r="A71" s="55"/>
      <c r="B71" s="55" t="s">
        <v>207</v>
      </c>
      <c r="C71" s="68" t="s">
        <v>67</v>
      </c>
    </row>
    <row r="72">
      <c r="A72" s="55"/>
      <c r="B72" s="55" t="s">
        <v>209</v>
      </c>
      <c r="C72" s="68" t="s">
        <v>23</v>
      </c>
    </row>
    <row r="73">
      <c r="A73" s="55"/>
      <c r="B73" s="55" t="s">
        <v>210</v>
      </c>
      <c r="C73" s="68" t="s">
        <v>66</v>
      </c>
    </row>
    <row r="74">
      <c r="A74" s="55"/>
      <c r="B74" s="55" t="s">
        <v>211</v>
      </c>
      <c r="C74" s="68" t="s">
        <v>63</v>
      </c>
    </row>
    <row r="75">
      <c r="A75" s="55"/>
      <c r="B75" s="55" t="s">
        <v>212</v>
      </c>
      <c r="C75" s="68" t="s">
        <v>63</v>
      </c>
    </row>
    <row r="76">
      <c r="A76" s="55"/>
      <c r="B76" s="55" t="s">
        <v>213</v>
      </c>
      <c r="C76" s="68" t="s">
        <v>23</v>
      </c>
    </row>
    <row r="77">
      <c r="A77" s="55"/>
      <c r="B77" s="55" t="s">
        <v>214</v>
      </c>
      <c r="C77" s="68" t="s">
        <v>23</v>
      </c>
    </row>
    <row r="78">
      <c r="A78" s="55"/>
      <c r="B78" s="55" t="s">
        <v>215</v>
      </c>
      <c r="C78" s="68" t="s">
        <v>23</v>
      </c>
    </row>
    <row r="79">
      <c r="A79" s="55"/>
      <c r="B79" s="55" t="s">
        <v>216</v>
      </c>
      <c r="C79" s="68" t="s">
        <v>23</v>
      </c>
    </row>
    <row r="80">
      <c r="A80" s="55"/>
      <c r="B80" s="55" t="s">
        <v>219</v>
      </c>
      <c r="C80" s="68" t="s">
        <v>63</v>
      </c>
    </row>
    <row r="81">
      <c r="A81" s="55"/>
      <c r="B81" s="55" t="s">
        <v>220</v>
      </c>
      <c r="C81" s="68" t="s">
        <v>23</v>
      </c>
    </row>
    <row r="82">
      <c r="A82" s="55"/>
      <c r="B82" s="55" t="s">
        <v>221</v>
      </c>
      <c r="C82" s="68" t="s">
        <v>69</v>
      </c>
    </row>
    <row r="83">
      <c r="A83" s="55"/>
      <c r="B83" s="55" t="s">
        <v>222</v>
      </c>
      <c r="C83" s="68" t="s">
        <v>23</v>
      </c>
    </row>
    <row r="84">
      <c r="A84" s="55"/>
      <c r="B84" s="55" t="s">
        <v>223</v>
      </c>
      <c r="C84" s="68" t="s">
        <v>66</v>
      </c>
    </row>
    <row r="85">
      <c r="A85" s="55"/>
      <c r="B85" s="55" t="s">
        <v>225</v>
      </c>
      <c r="C85" s="68" t="s">
        <v>69</v>
      </c>
    </row>
    <row r="86">
      <c r="A86" s="55"/>
      <c r="B86" s="55" t="s">
        <v>226</v>
      </c>
      <c r="C86" s="68" t="s">
        <v>63</v>
      </c>
    </row>
    <row r="87">
      <c r="A87" s="55"/>
      <c r="B87" s="55" t="s">
        <v>227</v>
      </c>
      <c r="C87" s="68" t="s">
        <v>63</v>
      </c>
    </row>
    <row r="88">
      <c r="A88" s="55"/>
      <c r="B88" s="55" t="s">
        <v>228</v>
      </c>
      <c r="C88" s="68" t="s">
        <v>67</v>
      </c>
    </row>
    <row r="89">
      <c r="A89" s="55"/>
      <c r="B89" s="55" t="s">
        <v>229</v>
      </c>
      <c r="C89" s="68" t="s">
        <v>66</v>
      </c>
    </row>
    <row r="90">
      <c r="A90" s="55"/>
      <c r="B90" s="55" t="s">
        <v>230</v>
      </c>
      <c r="C90" s="68" t="s">
        <v>66</v>
      </c>
    </row>
    <row r="91">
      <c r="A91" s="55"/>
      <c r="B91" s="55" t="s">
        <v>233</v>
      </c>
      <c r="C91" s="68" t="s">
        <v>23</v>
      </c>
    </row>
    <row r="92">
      <c r="A92" s="55"/>
      <c r="B92" s="55" t="s">
        <v>234</v>
      </c>
      <c r="C92" s="68" t="s">
        <v>67</v>
      </c>
    </row>
    <row r="93">
      <c r="A93" s="55"/>
      <c r="B93" s="55" t="s">
        <v>40</v>
      </c>
      <c r="C93" s="68" t="s">
        <v>66</v>
      </c>
    </row>
    <row r="94">
      <c r="A94" s="55"/>
      <c r="B94" s="55" t="s">
        <v>235</v>
      </c>
      <c r="C94" s="68" t="s">
        <v>63</v>
      </c>
    </row>
    <row r="95">
      <c r="A95" s="55"/>
      <c r="B95" s="55" t="s">
        <v>236</v>
      </c>
      <c r="C95" s="68" t="s">
        <v>67</v>
      </c>
    </row>
    <row r="96">
      <c r="A96" s="55"/>
      <c r="B96" s="55" t="s">
        <v>237</v>
      </c>
      <c r="C96" s="68" t="s">
        <v>23</v>
      </c>
    </row>
    <row r="97">
      <c r="A97" s="55"/>
      <c r="B97" s="55" t="s">
        <v>238</v>
      </c>
      <c r="C97" s="68" t="s">
        <v>66</v>
      </c>
    </row>
    <row r="98">
      <c r="A98" s="55"/>
      <c r="B98" s="55" t="s">
        <v>79</v>
      </c>
      <c r="C98" s="68" t="s">
        <v>69</v>
      </c>
    </row>
    <row r="99">
      <c r="A99" s="55"/>
      <c r="B99" s="55" t="s">
        <v>239</v>
      </c>
      <c r="C99" s="68" t="s">
        <v>69</v>
      </c>
    </row>
    <row r="100">
      <c r="A100" s="55"/>
      <c r="B100" s="55" t="s">
        <v>174</v>
      </c>
      <c r="C100" s="68" t="s">
        <v>66</v>
      </c>
    </row>
    <row r="101">
      <c r="A101" s="55"/>
      <c r="B101" s="55" t="s">
        <v>242</v>
      </c>
      <c r="C101" s="68" t="s">
        <v>63</v>
      </c>
    </row>
    <row r="102">
      <c r="A102" s="55"/>
      <c r="B102" s="55" t="s">
        <v>243</v>
      </c>
      <c r="C102" s="68" t="s">
        <v>63</v>
      </c>
    </row>
    <row r="103">
      <c r="A103" s="55"/>
      <c r="B103" s="55" t="s">
        <v>244</v>
      </c>
      <c r="C103" s="68" t="s">
        <v>67</v>
      </c>
    </row>
    <row r="104">
      <c r="A104" s="55"/>
      <c r="B104" s="55" t="s">
        <v>53</v>
      </c>
      <c r="C104" s="68" t="s">
        <v>63</v>
      </c>
    </row>
    <row r="105">
      <c r="A105" s="55"/>
      <c r="B105" s="55" t="s">
        <v>245</v>
      </c>
      <c r="C105" s="68" t="s">
        <v>69</v>
      </c>
    </row>
    <row r="106">
      <c r="A106" s="55"/>
      <c r="B106" s="55" t="s">
        <v>247</v>
      </c>
      <c r="C106" s="68" t="s">
        <v>66</v>
      </c>
    </row>
    <row r="107">
      <c r="A107" s="55"/>
      <c r="B107" s="55" t="s">
        <v>249</v>
      </c>
      <c r="C107" s="68" t="s">
        <v>23</v>
      </c>
    </row>
    <row r="108">
      <c r="A108" s="55"/>
      <c r="B108" s="55" t="s">
        <v>250</v>
      </c>
      <c r="C108" s="68" t="s">
        <v>63</v>
      </c>
    </row>
    <row r="109">
      <c r="A109" s="55"/>
      <c r="B109" s="55" t="s">
        <v>251</v>
      </c>
      <c r="C109" s="68" t="s">
        <v>69</v>
      </c>
    </row>
    <row r="110">
      <c r="A110" s="55"/>
      <c r="B110" s="55" t="s">
        <v>252</v>
      </c>
      <c r="C110" s="68" t="s">
        <v>66</v>
      </c>
    </row>
    <row r="111">
      <c r="A111" s="55"/>
      <c r="B111" s="55" t="s">
        <v>253</v>
      </c>
      <c r="C111" s="68" t="s">
        <v>66</v>
      </c>
    </row>
    <row r="112">
      <c r="A112" s="55"/>
      <c r="B112" s="55" t="s">
        <v>102</v>
      </c>
      <c r="C112" s="68" t="s">
        <v>69</v>
      </c>
    </row>
    <row r="113">
      <c r="A113" s="55"/>
      <c r="B113" s="55" t="s">
        <v>254</v>
      </c>
      <c r="C113" s="68" t="s">
        <v>63</v>
      </c>
    </row>
    <row r="114">
      <c r="A114" s="55"/>
      <c r="B114" s="55" t="s">
        <v>256</v>
      </c>
      <c r="C114" s="68" t="s">
        <v>23</v>
      </c>
    </row>
    <row r="115">
      <c r="A115" s="55"/>
      <c r="B115" s="55" t="s">
        <v>258</v>
      </c>
      <c r="C115" s="68" t="s">
        <v>69</v>
      </c>
    </row>
    <row r="116">
      <c r="A116" s="55"/>
      <c r="B116" s="55" t="s">
        <v>259</v>
      </c>
      <c r="C116" s="68" t="s">
        <v>63</v>
      </c>
    </row>
    <row r="117">
      <c r="A117" s="55"/>
      <c r="B117" s="55" t="s">
        <v>260</v>
      </c>
      <c r="C117" s="68" t="s">
        <v>66</v>
      </c>
    </row>
    <row r="118">
      <c r="A118" s="55"/>
      <c r="B118" s="55" t="s">
        <v>261</v>
      </c>
      <c r="C118" s="68" t="s">
        <v>23</v>
      </c>
    </row>
    <row r="119">
      <c r="A119" s="55"/>
      <c r="B119" s="55" t="s">
        <v>262</v>
      </c>
      <c r="C119" s="68" t="s">
        <v>63</v>
      </c>
    </row>
    <row r="120">
      <c r="A120" s="55"/>
      <c r="B120" s="43" t="s">
        <v>263</v>
      </c>
      <c r="C120" s="68" t="s">
        <v>68</v>
      </c>
    </row>
    <row r="121">
      <c r="A121" s="55"/>
      <c r="B121" s="55" t="s">
        <v>266</v>
      </c>
      <c r="C121" s="68" t="s">
        <v>66</v>
      </c>
    </row>
    <row r="122">
      <c r="A122" s="55"/>
      <c r="B122" s="55" t="s">
        <v>267</v>
      </c>
      <c r="C122" s="68" t="s">
        <v>63</v>
      </c>
    </row>
    <row r="123">
      <c r="A123" s="55"/>
      <c r="B123" s="55" t="s">
        <v>268</v>
      </c>
      <c r="C123" s="68" t="s">
        <v>23</v>
      </c>
    </row>
    <row r="124">
      <c r="A124" s="55"/>
      <c r="B124" s="55" t="s">
        <v>269</v>
      </c>
      <c r="C124" s="68" t="s">
        <v>69</v>
      </c>
    </row>
    <row r="125">
      <c r="A125" s="55"/>
      <c r="B125" s="55" t="s">
        <v>231</v>
      </c>
      <c r="C125" s="68" t="s">
        <v>69</v>
      </c>
    </row>
    <row r="126">
      <c r="A126" s="55"/>
      <c r="B126" s="55" t="s">
        <v>270</v>
      </c>
      <c r="C126" s="68" t="s">
        <v>69</v>
      </c>
    </row>
    <row r="127">
      <c r="A127" s="55"/>
      <c r="B127" s="55" t="s">
        <v>271</v>
      </c>
      <c r="C127" s="68" t="s">
        <v>23</v>
      </c>
    </row>
    <row r="128">
      <c r="A128" s="55"/>
      <c r="B128" s="55" t="s">
        <v>272</v>
      </c>
      <c r="C128" s="68" t="s">
        <v>23</v>
      </c>
    </row>
    <row r="129">
      <c r="A129" s="55"/>
      <c r="B129" s="55" t="s">
        <v>72</v>
      </c>
      <c r="C129" s="68" t="s">
        <v>69</v>
      </c>
    </row>
    <row r="130">
      <c r="A130" s="55"/>
      <c r="B130" s="55" t="s">
        <v>274</v>
      </c>
      <c r="C130" s="68" t="s">
        <v>63</v>
      </c>
    </row>
    <row r="131">
      <c r="A131" s="55"/>
      <c r="B131" s="55" t="s">
        <v>35</v>
      </c>
      <c r="C131" s="68" t="s">
        <v>66</v>
      </c>
    </row>
    <row r="132">
      <c r="A132" s="55"/>
      <c r="B132" s="55" t="s">
        <v>275</v>
      </c>
      <c r="C132" s="68" t="s">
        <v>63</v>
      </c>
    </row>
    <row r="133">
      <c r="A133" s="55"/>
      <c r="B133" s="55" t="s">
        <v>276</v>
      </c>
      <c r="C133" s="68" t="s">
        <v>69</v>
      </c>
    </row>
    <row r="134">
      <c r="A134" s="55"/>
      <c r="B134" s="55" t="s">
        <v>277</v>
      </c>
      <c r="C134" s="68" t="s">
        <v>66</v>
      </c>
    </row>
    <row r="135">
      <c r="A135" s="55"/>
      <c r="B135" s="55" t="s">
        <v>278</v>
      </c>
      <c r="C135" s="68" t="s">
        <v>66</v>
      </c>
    </row>
    <row r="136">
      <c r="A136" s="55"/>
      <c r="B136" s="55" t="s">
        <v>279</v>
      </c>
      <c r="C136" s="68" t="s">
        <v>66</v>
      </c>
    </row>
    <row r="137">
      <c r="A137" s="55"/>
      <c r="B137" s="43" t="s">
        <v>280</v>
      </c>
      <c r="C137" s="68" t="s">
        <v>66</v>
      </c>
    </row>
    <row r="138">
      <c r="A138" s="55"/>
      <c r="B138" s="55" t="s">
        <v>281</v>
      </c>
      <c r="C138" s="68" t="s">
        <v>63</v>
      </c>
    </row>
    <row r="139">
      <c r="A139" s="55"/>
      <c r="B139" s="55" t="s">
        <v>282</v>
      </c>
      <c r="C139" s="68" t="s">
        <v>63</v>
      </c>
    </row>
    <row r="140">
      <c r="A140" s="55"/>
      <c r="B140" s="55" t="s">
        <v>283</v>
      </c>
      <c r="C140" s="68" t="s">
        <v>63</v>
      </c>
    </row>
    <row r="141">
      <c r="A141" s="55"/>
      <c r="B141" s="55" t="s">
        <v>285</v>
      </c>
      <c r="C141" s="68" t="s">
        <v>63</v>
      </c>
    </row>
    <row r="142">
      <c r="A142" s="55"/>
      <c r="B142" s="55" t="s">
        <v>286</v>
      </c>
      <c r="C142" s="68" t="s">
        <v>63</v>
      </c>
    </row>
    <row r="143">
      <c r="A143" s="55"/>
      <c r="B143" s="55" t="s">
        <v>107</v>
      </c>
      <c r="C143" s="68" t="s">
        <v>66</v>
      </c>
    </row>
    <row r="144">
      <c r="A144" s="55"/>
      <c r="B144" s="55" t="s">
        <v>287</v>
      </c>
      <c r="C144" s="68" t="s">
        <v>66</v>
      </c>
    </row>
    <row r="145">
      <c r="A145" s="55"/>
      <c r="B145" s="55" t="s">
        <v>288</v>
      </c>
      <c r="C145" s="68" t="s">
        <v>67</v>
      </c>
    </row>
    <row r="146">
      <c r="A146" s="55"/>
      <c r="B146" s="55" t="s">
        <v>289</v>
      </c>
      <c r="C146" s="68" t="s">
        <v>63</v>
      </c>
    </row>
    <row r="147">
      <c r="A147" s="55"/>
      <c r="B147" s="55" t="s">
        <v>290</v>
      </c>
      <c r="C147" s="68" t="s">
        <v>63</v>
      </c>
    </row>
    <row r="148">
      <c r="A148" s="55"/>
      <c r="B148" s="55" t="s">
        <v>292</v>
      </c>
      <c r="C148" s="68" t="s">
        <v>69</v>
      </c>
    </row>
    <row r="149">
      <c r="A149" s="55"/>
      <c r="B149" s="55" t="s">
        <v>293</v>
      </c>
      <c r="C149" s="68" t="s">
        <v>23</v>
      </c>
    </row>
    <row r="150">
      <c r="A150" s="55"/>
      <c r="B150" s="55" t="s">
        <v>294</v>
      </c>
      <c r="C150" s="68" t="s">
        <v>23</v>
      </c>
    </row>
    <row r="151">
      <c r="A151" s="55"/>
      <c r="B151" s="55" t="s">
        <v>44</v>
      </c>
      <c r="C151" s="68" t="s">
        <v>69</v>
      </c>
    </row>
    <row r="152">
      <c r="A152" s="55"/>
      <c r="B152" s="55" t="s">
        <v>295</v>
      </c>
      <c r="C152" s="68" t="s">
        <v>69</v>
      </c>
    </row>
    <row r="153">
      <c r="A153" s="55"/>
      <c r="B153" s="55" t="s">
        <v>296</v>
      </c>
      <c r="C153" s="68" t="s">
        <v>63</v>
      </c>
    </row>
    <row r="154">
      <c r="A154" s="55"/>
      <c r="B154" s="55" t="s">
        <v>297</v>
      </c>
      <c r="C154" s="68" t="s">
        <v>23</v>
      </c>
    </row>
    <row r="155">
      <c r="A155" s="55"/>
      <c r="B155" s="55" t="s">
        <v>298</v>
      </c>
      <c r="C155" s="68" t="s">
        <v>63</v>
      </c>
    </row>
    <row r="156">
      <c r="A156" s="55"/>
      <c r="B156" s="55" t="s">
        <v>299</v>
      </c>
      <c r="C156" s="68" t="s">
        <v>63</v>
      </c>
    </row>
    <row r="157">
      <c r="A157" s="55"/>
      <c r="B157" s="55" t="s">
        <v>301</v>
      </c>
      <c r="C157" s="68" t="s">
        <v>63</v>
      </c>
    </row>
    <row r="158">
      <c r="A158" s="55"/>
      <c r="B158" s="55" t="s">
        <v>302</v>
      </c>
      <c r="C158" s="68" t="s">
        <v>63</v>
      </c>
    </row>
    <row r="159">
      <c r="A159" s="55"/>
      <c r="B159" s="55" t="s">
        <v>303</v>
      </c>
      <c r="C159" s="68" t="s">
        <v>63</v>
      </c>
    </row>
    <row r="160">
      <c r="A160" s="55"/>
      <c r="B160" s="55" t="s">
        <v>304</v>
      </c>
      <c r="C160" s="68" t="s">
        <v>69</v>
      </c>
    </row>
    <row r="161">
      <c r="A161" s="55"/>
      <c r="B161" s="55" t="s">
        <v>305</v>
      </c>
      <c r="C161" s="68" t="s">
        <v>69</v>
      </c>
    </row>
    <row r="162">
      <c r="A162" s="55"/>
      <c r="B162" s="55" t="s">
        <v>306</v>
      </c>
      <c r="C162" s="68" t="s">
        <v>23</v>
      </c>
    </row>
    <row r="163">
      <c r="A163" s="55"/>
      <c r="B163" s="55" t="s">
        <v>307</v>
      </c>
      <c r="C163" s="68" t="s">
        <v>63</v>
      </c>
    </row>
    <row r="164">
      <c r="A164" s="55"/>
      <c r="B164" s="55" t="s">
        <v>309</v>
      </c>
      <c r="C164" s="68" t="s">
        <v>63</v>
      </c>
    </row>
    <row r="165">
      <c r="A165" s="55"/>
      <c r="B165" s="55" t="s">
        <v>310</v>
      </c>
      <c r="C165" s="68" t="s">
        <v>63</v>
      </c>
    </row>
    <row r="166">
      <c r="A166" s="55"/>
      <c r="B166" s="55" t="s">
        <v>311</v>
      </c>
      <c r="C166" s="68" t="s">
        <v>23</v>
      </c>
    </row>
    <row r="167">
      <c r="A167" s="55"/>
      <c r="B167" s="43" t="s">
        <v>312</v>
      </c>
      <c r="C167" s="68" t="s">
        <v>23</v>
      </c>
    </row>
    <row r="168">
      <c r="A168" s="55"/>
      <c r="B168" s="55" t="s">
        <v>313</v>
      </c>
      <c r="C168" s="68" t="s">
        <v>63</v>
      </c>
    </row>
    <row r="169">
      <c r="A169" s="55"/>
      <c r="B169" s="55" t="s">
        <v>70</v>
      </c>
      <c r="C169" s="68" t="s">
        <v>63</v>
      </c>
    </row>
    <row r="170">
      <c r="A170" s="55"/>
      <c r="B170" s="55" t="s">
        <v>314</v>
      </c>
      <c r="C170" s="68" t="s">
        <v>69</v>
      </c>
    </row>
    <row r="171">
      <c r="A171" s="55"/>
      <c r="B171" s="55" t="s">
        <v>316</v>
      </c>
      <c r="C171" s="68" t="s">
        <v>63</v>
      </c>
    </row>
    <row r="172">
      <c r="A172" s="55"/>
      <c r="B172" s="55" t="s">
        <v>317</v>
      </c>
      <c r="C172" s="68" t="s">
        <v>67</v>
      </c>
    </row>
    <row r="173">
      <c r="A173" s="55"/>
      <c r="B173" s="55" t="s">
        <v>255</v>
      </c>
      <c r="C173" s="68" t="s">
        <v>66</v>
      </c>
    </row>
    <row r="174">
      <c r="A174" s="55"/>
      <c r="B174" s="55" t="s">
        <v>318</v>
      </c>
      <c r="C174" s="68" t="s">
        <v>63</v>
      </c>
    </row>
    <row r="175">
      <c r="A175" s="55"/>
      <c r="B175" s="55" t="s">
        <v>319</v>
      </c>
      <c r="C175" s="68" t="s">
        <v>63</v>
      </c>
    </row>
    <row r="176">
      <c r="A176" s="55"/>
      <c r="B176" s="55" t="s">
        <v>320</v>
      </c>
      <c r="C176" s="68" t="s">
        <v>23</v>
      </c>
    </row>
    <row r="177">
      <c r="A177" s="55"/>
      <c r="B177" s="55" t="s">
        <v>321</v>
      </c>
      <c r="C177" s="68" t="s">
        <v>63</v>
      </c>
    </row>
    <row r="178">
      <c r="A178" s="55"/>
      <c r="B178" s="55" t="s">
        <v>323</v>
      </c>
      <c r="C178" s="68" t="s">
        <v>23</v>
      </c>
    </row>
    <row r="179">
      <c r="A179" s="55"/>
      <c r="B179" s="55" t="s">
        <v>324</v>
      </c>
      <c r="C179" s="68" t="s">
        <v>63</v>
      </c>
    </row>
    <row r="180">
      <c r="A180" s="55"/>
      <c r="B180" s="55" t="s">
        <v>325</v>
      </c>
      <c r="C180" s="68" t="s">
        <v>63</v>
      </c>
    </row>
    <row r="181">
      <c r="A181" s="55"/>
      <c r="B181" s="55" t="s">
        <v>326</v>
      </c>
      <c r="C181" s="68" t="s">
        <v>23</v>
      </c>
    </row>
    <row r="182">
      <c r="A182" s="55"/>
      <c r="B182" s="43" t="s">
        <v>327</v>
      </c>
      <c r="C182" s="68" t="s">
        <v>63</v>
      </c>
    </row>
    <row r="183">
      <c r="A183" s="55"/>
      <c r="B183" s="55" t="s">
        <v>189</v>
      </c>
      <c r="C183" s="68" t="s">
        <v>67</v>
      </c>
    </row>
    <row r="184">
      <c r="A184" s="55"/>
      <c r="B184" s="55" t="s">
        <v>328</v>
      </c>
      <c r="C184" s="68" t="s">
        <v>63</v>
      </c>
    </row>
    <row r="185">
      <c r="A185" s="55"/>
      <c r="B185" s="55" t="s">
        <v>329</v>
      </c>
      <c r="C185" s="68" t="s">
        <v>67</v>
      </c>
    </row>
    <row r="186">
      <c r="A186" s="55"/>
      <c r="B186" s="55" t="s">
        <v>330</v>
      </c>
      <c r="C186" s="68" t="s">
        <v>63</v>
      </c>
    </row>
    <row r="187">
      <c r="A187" s="55"/>
      <c r="B187" s="55" t="s">
        <v>331</v>
      </c>
      <c r="C187" s="68" t="s">
        <v>63</v>
      </c>
    </row>
    <row r="188">
      <c r="A188" s="55"/>
      <c r="B188" s="55" t="s">
        <v>332</v>
      </c>
      <c r="C188" s="68" t="s">
        <v>23</v>
      </c>
    </row>
    <row r="189">
      <c r="A189" s="55"/>
      <c r="B189" s="55" t="s">
        <v>333</v>
      </c>
      <c r="C189" s="68" t="s">
        <v>63</v>
      </c>
    </row>
    <row r="190">
      <c r="A190" s="55"/>
      <c r="B190" s="55" t="s">
        <v>334</v>
      </c>
      <c r="C190" s="68" t="s">
        <v>63</v>
      </c>
    </row>
    <row r="191">
      <c r="A191" s="55"/>
      <c r="B191" s="55" t="s">
        <v>246</v>
      </c>
      <c r="C191" s="68" t="s">
        <v>23</v>
      </c>
    </row>
    <row r="192">
      <c r="A192" s="55"/>
      <c r="B192" s="55" t="s">
        <v>336</v>
      </c>
      <c r="C192" s="68" t="s">
        <v>67</v>
      </c>
    </row>
    <row r="193">
      <c r="A193" s="55"/>
      <c r="B193" s="55" t="s">
        <v>337</v>
      </c>
      <c r="C193" s="68" t="s">
        <v>63</v>
      </c>
    </row>
    <row r="194">
      <c r="A194" s="55"/>
      <c r="B194" s="55" t="s">
        <v>338</v>
      </c>
      <c r="C194" s="68" t="s">
        <v>66</v>
      </c>
    </row>
    <row r="195">
      <c r="A195" s="55"/>
      <c r="B195" s="55" t="s">
        <v>339</v>
      </c>
      <c r="C195" s="68" t="s">
        <v>23</v>
      </c>
    </row>
    <row r="196">
      <c r="A196" s="55"/>
      <c r="B196" s="55" t="s">
        <v>341</v>
      </c>
      <c r="C196" s="68" t="s">
        <v>63</v>
      </c>
    </row>
    <row r="197">
      <c r="A197" s="55"/>
      <c r="B197" s="55" t="s">
        <v>342</v>
      </c>
      <c r="C197" s="68" t="s">
        <v>63</v>
      </c>
    </row>
    <row r="198">
      <c r="A198" s="55"/>
      <c r="B198" s="55" t="s">
        <v>343</v>
      </c>
      <c r="C198" s="68" t="s">
        <v>69</v>
      </c>
    </row>
    <row r="199">
      <c r="A199" s="55"/>
      <c r="B199" s="55" t="s">
        <v>344</v>
      </c>
      <c r="C199" s="68" t="s">
        <v>63</v>
      </c>
    </row>
    <row r="200">
      <c r="A200" s="55"/>
      <c r="B200" s="55" t="s">
        <v>346</v>
      </c>
      <c r="C200" s="68" t="s">
        <v>69</v>
      </c>
    </row>
    <row r="201">
      <c r="A201" s="55"/>
      <c r="B201" s="55" t="s">
        <v>347</v>
      </c>
      <c r="C201" s="68" t="s">
        <v>69</v>
      </c>
    </row>
    <row r="202">
      <c r="A202" s="55"/>
      <c r="B202" s="55" t="s">
        <v>348</v>
      </c>
      <c r="C202" s="68" t="s">
        <v>66</v>
      </c>
    </row>
    <row r="203">
      <c r="A203" s="55"/>
      <c r="B203" s="55" t="s">
        <v>350</v>
      </c>
      <c r="C203" s="68" t="s">
        <v>63</v>
      </c>
    </row>
    <row r="204">
      <c r="A204" s="55"/>
      <c r="B204" s="55" t="s">
        <v>94</v>
      </c>
      <c r="C204" s="68" t="s">
        <v>23</v>
      </c>
    </row>
    <row r="205">
      <c r="A205" s="55"/>
      <c r="B205" s="55" t="s">
        <v>119</v>
      </c>
      <c r="C205" s="68" t="s">
        <v>69</v>
      </c>
    </row>
    <row r="206">
      <c r="A206" s="55"/>
      <c r="B206" s="55" t="s">
        <v>351</v>
      </c>
      <c r="C206" s="68" t="s">
        <v>69</v>
      </c>
    </row>
    <row r="207">
      <c r="A207" s="55"/>
      <c r="B207" s="55" t="s">
        <v>353</v>
      </c>
      <c r="C207" s="68" t="s">
        <v>23</v>
      </c>
    </row>
    <row r="208">
      <c r="A208" s="55"/>
      <c r="B208" s="55" t="s">
        <v>354</v>
      </c>
      <c r="C208" s="68" t="s">
        <v>63</v>
      </c>
    </row>
    <row r="209">
      <c r="A209" s="55"/>
      <c r="B209" s="55" t="s">
        <v>355</v>
      </c>
      <c r="C209" s="68" t="s">
        <v>23</v>
      </c>
    </row>
    <row r="210">
      <c r="A210" s="55"/>
      <c r="B210" s="55" t="s">
        <v>356</v>
      </c>
      <c r="C210" s="68" t="s">
        <v>69</v>
      </c>
    </row>
    <row r="211">
      <c r="A211" s="55"/>
      <c r="B211" s="43" t="s">
        <v>358</v>
      </c>
      <c r="C211" s="68" t="s">
        <v>66</v>
      </c>
    </row>
    <row r="212">
      <c r="A212" s="55"/>
      <c r="B212" s="55" t="s">
        <v>359</v>
      </c>
      <c r="C212" s="68" t="s">
        <v>23</v>
      </c>
    </row>
    <row r="213">
      <c r="A213" s="55"/>
      <c r="B213" s="55" t="s">
        <v>360</v>
      </c>
      <c r="C213" s="68" t="s">
        <v>63</v>
      </c>
    </row>
    <row r="214">
      <c r="A214" s="55"/>
      <c r="B214" s="55" t="s">
        <v>361</v>
      </c>
      <c r="C214" s="68" t="s">
        <v>23</v>
      </c>
    </row>
    <row r="215">
      <c r="A215" s="55"/>
      <c r="B215" s="55" t="s">
        <v>114</v>
      </c>
      <c r="C215" s="68" t="s">
        <v>67</v>
      </c>
    </row>
    <row r="216">
      <c r="A216" s="55"/>
      <c r="B216" s="55" t="s">
        <v>363</v>
      </c>
      <c r="C216" s="68" t="s">
        <v>69</v>
      </c>
    </row>
    <row r="217">
      <c r="A217" s="55"/>
      <c r="B217" s="55" t="s">
        <v>365</v>
      </c>
      <c r="C217" s="68" t="s">
        <v>66</v>
      </c>
    </row>
    <row r="218">
      <c r="A218" s="55"/>
      <c r="B218" s="55" t="s">
        <v>366</v>
      </c>
      <c r="C218" s="68" t="s">
        <v>66</v>
      </c>
    </row>
    <row r="219">
      <c r="A219" s="55"/>
      <c r="B219" s="55" t="s">
        <v>167</v>
      </c>
      <c r="C219" s="68" t="s">
        <v>63</v>
      </c>
    </row>
    <row r="220">
      <c r="A220" s="55"/>
      <c r="B220" s="55" t="s">
        <v>367</v>
      </c>
      <c r="C220" s="68" t="s">
        <v>23</v>
      </c>
    </row>
    <row r="221">
      <c r="A221" s="55"/>
      <c r="B221" s="55" t="s">
        <v>58</v>
      </c>
      <c r="C221" s="68" t="s">
        <v>66</v>
      </c>
    </row>
    <row r="222">
      <c r="A222" s="55"/>
      <c r="B222" s="55" t="s">
        <v>240</v>
      </c>
      <c r="C222" s="68" t="s">
        <v>68</v>
      </c>
    </row>
    <row r="223">
      <c r="A223" s="55"/>
      <c r="B223" s="55" t="s">
        <v>369</v>
      </c>
      <c r="C223" s="68" t="s">
        <v>63</v>
      </c>
    </row>
    <row r="224">
      <c r="A224" s="55"/>
      <c r="B224" s="43" t="s">
        <v>182</v>
      </c>
      <c r="C224" s="68" t="s">
        <v>69</v>
      </c>
    </row>
    <row r="225">
      <c r="A225" s="55"/>
      <c r="B225" s="55" t="s">
        <v>96</v>
      </c>
      <c r="C225" s="68" t="s">
        <v>63</v>
      </c>
    </row>
    <row r="226">
      <c r="A226" s="55"/>
      <c r="B226" s="55" t="s">
        <v>371</v>
      </c>
      <c r="C226" s="68" t="s">
        <v>63</v>
      </c>
    </row>
    <row r="227">
      <c r="A227" s="55"/>
      <c r="B227" s="43" t="s">
        <v>372</v>
      </c>
      <c r="C227" s="68" t="s">
        <v>66</v>
      </c>
    </row>
    <row r="228">
      <c r="A228" s="55"/>
      <c r="B228" s="43" t="s">
        <v>373</v>
      </c>
      <c r="C228" s="68" t="s">
        <v>63</v>
      </c>
    </row>
    <row r="229">
      <c r="A229" s="55"/>
      <c r="B229" s="55" t="s">
        <v>375</v>
      </c>
      <c r="C229" s="68" t="s">
        <v>63</v>
      </c>
    </row>
    <row r="230">
      <c r="A230" s="55"/>
      <c r="B230" s="55" t="s">
        <v>376</v>
      </c>
      <c r="C230" s="68" t="s">
        <v>23</v>
      </c>
    </row>
    <row r="231">
      <c r="A231" s="55"/>
      <c r="B231" s="55" t="s">
        <v>377</v>
      </c>
      <c r="C231" s="68" t="s">
        <v>23</v>
      </c>
    </row>
    <row r="232">
      <c r="A232" s="55"/>
      <c r="B232" s="55" t="s">
        <v>92</v>
      </c>
      <c r="C232" s="68" t="s">
        <v>69</v>
      </c>
    </row>
    <row r="233">
      <c r="A233" s="55"/>
      <c r="B233" s="55" t="s">
        <v>379</v>
      </c>
      <c r="C233" s="68" t="s">
        <v>23</v>
      </c>
    </row>
    <row r="234">
      <c r="A234" s="55"/>
      <c r="B234" s="55" t="s">
        <v>380</v>
      </c>
      <c r="C234" s="68" t="s">
        <v>67</v>
      </c>
    </row>
    <row r="235">
      <c r="A235" s="55"/>
      <c r="B235" s="55" t="s">
        <v>381</v>
      </c>
      <c r="C235" s="68" t="s">
        <v>67</v>
      </c>
    </row>
    <row r="236">
      <c r="A236" s="55"/>
      <c r="B236" s="55" t="s">
        <v>383</v>
      </c>
      <c r="C236" s="68" t="s">
        <v>23</v>
      </c>
    </row>
    <row r="237">
      <c r="A237" s="55"/>
      <c r="B237" s="55" t="s">
        <v>384</v>
      </c>
      <c r="C237" s="68" t="s">
        <v>69</v>
      </c>
    </row>
    <row r="238">
      <c r="A238" s="55"/>
      <c r="B238" s="55" t="s">
        <v>386</v>
      </c>
      <c r="C238" s="68" t="s">
        <v>63</v>
      </c>
    </row>
    <row r="239">
      <c r="A239" s="55"/>
      <c r="B239" s="55" t="s">
        <v>387</v>
      </c>
      <c r="C239" s="68" t="s">
        <v>66</v>
      </c>
    </row>
    <row r="240">
      <c r="A240" s="55"/>
      <c r="B240" s="55" t="s">
        <v>388</v>
      </c>
      <c r="C240" s="68" t="s">
        <v>63</v>
      </c>
    </row>
    <row r="241">
      <c r="A241" s="55"/>
      <c r="B241" s="55" t="s">
        <v>389</v>
      </c>
      <c r="C241" s="68" t="s">
        <v>63</v>
      </c>
    </row>
    <row r="242">
      <c r="A242" s="55"/>
      <c r="B242" s="55" t="s">
        <v>391</v>
      </c>
      <c r="C242" s="68" t="s">
        <v>63</v>
      </c>
    </row>
    <row r="243">
      <c r="A243" s="55"/>
      <c r="B243" s="55" t="s">
        <v>392</v>
      </c>
      <c r="C243" s="68" t="s">
        <v>63</v>
      </c>
    </row>
    <row r="244">
      <c r="A244" s="55"/>
      <c r="B244" s="55" t="s">
        <v>393</v>
      </c>
      <c r="C244" s="68" t="s">
        <v>23</v>
      </c>
    </row>
    <row r="245">
      <c r="A245" s="55"/>
      <c r="B245" s="43" t="s">
        <v>394</v>
      </c>
      <c r="C245" s="68" t="s">
        <v>23</v>
      </c>
    </row>
    <row r="246">
      <c r="A246" s="55"/>
      <c r="B246" s="55" t="s">
        <v>396</v>
      </c>
      <c r="C246" s="68" t="s">
        <v>68</v>
      </c>
    </row>
    <row r="247">
      <c r="A247" s="55"/>
      <c r="B247" s="55" t="s">
        <v>397</v>
      </c>
      <c r="C247" s="68" t="s">
        <v>66</v>
      </c>
    </row>
    <row r="248">
      <c r="A248" s="55"/>
      <c r="B248" s="55" t="s">
        <v>398</v>
      </c>
      <c r="C248" s="68" t="s">
        <v>23</v>
      </c>
    </row>
    <row r="249">
      <c r="A249" s="55"/>
      <c r="B249" s="55" t="s">
        <v>400</v>
      </c>
      <c r="C249" s="68" t="s">
        <v>66</v>
      </c>
    </row>
    <row r="250">
      <c r="A250" s="55"/>
      <c r="B250" s="43" t="s">
        <v>401</v>
      </c>
      <c r="C250" s="68" t="s">
        <v>63</v>
      </c>
    </row>
    <row r="251">
      <c r="A251" s="55"/>
      <c r="B251" s="55" t="s">
        <v>402</v>
      </c>
      <c r="C251" s="68" t="s">
        <v>66</v>
      </c>
    </row>
    <row r="252">
      <c r="A252" s="55"/>
      <c r="B252" s="55" t="s">
        <v>404</v>
      </c>
      <c r="C252" s="68" t="s">
        <v>66</v>
      </c>
    </row>
    <row r="253">
      <c r="A253" s="55"/>
      <c r="B253" s="55" t="s">
        <v>405</v>
      </c>
      <c r="C253" s="68" t="s">
        <v>63</v>
      </c>
    </row>
    <row r="254">
      <c r="A254" s="55"/>
      <c r="B254" s="55" t="s">
        <v>406</v>
      </c>
      <c r="C254" s="68" t="s">
        <v>63</v>
      </c>
    </row>
    <row r="255">
      <c r="A255" s="55"/>
      <c r="B255" s="55" t="s">
        <v>408</v>
      </c>
      <c r="C255" s="68" t="s">
        <v>63</v>
      </c>
    </row>
    <row r="256">
      <c r="A256" s="55"/>
      <c r="B256" s="43" t="s">
        <v>409</v>
      </c>
      <c r="C256" s="68" t="s">
        <v>63</v>
      </c>
    </row>
    <row r="257">
      <c r="A257" s="55"/>
      <c r="B257" s="55" t="s">
        <v>410</v>
      </c>
      <c r="C257" s="68" t="s">
        <v>23</v>
      </c>
    </row>
    <row r="258">
      <c r="A258" s="55"/>
      <c r="B258" s="55" t="s">
        <v>412</v>
      </c>
      <c r="C258" s="68" t="s">
        <v>63</v>
      </c>
    </row>
    <row r="259">
      <c r="A259" s="55"/>
      <c r="B259" s="55" t="s">
        <v>413</v>
      </c>
      <c r="C259" s="68" t="s">
        <v>63</v>
      </c>
    </row>
    <row r="260">
      <c r="A260" s="55"/>
      <c r="B260" s="55" t="s">
        <v>414</v>
      </c>
      <c r="C260" s="68" t="s">
        <v>23</v>
      </c>
    </row>
    <row r="261">
      <c r="A261" s="55"/>
      <c r="B261" s="43" t="s">
        <v>416</v>
      </c>
      <c r="C261" s="68" t="s">
        <v>67</v>
      </c>
    </row>
    <row r="262">
      <c r="A262" s="55"/>
      <c r="B262" s="55" t="s">
        <v>417</v>
      </c>
      <c r="C262" s="68" t="s">
        <v>23</v>
      </c>
    </row>
    <row r="263">
      <c r="A263" s="55"/>
      <c r="B263" s="55" t="s">
        <v>418</v>
      </c>
      <c r="C263" s="68" t="s">
        <v>63</v>
      </c>
    </row>
    <row r="264">
      <c r="A264" s="55"/>
      <c r="B264" s="55" t="s">
        <v>419</v>
      </c>
      <c r="C264" s="68" t="s">
        <v>66</v>
      </c>
    </row>
    <row r="265">
      <c r="A265" s="55"/>
      <c r="B265" s="43" t="s">
        <v>420</v>
      </c>
      <c r="C265" s="68" t="s">
        <v>23</v>
      </c>
    </row>
    <row r="266">
      <c r="A266" s="55"/>
      <c r="B266" s="55" t="s">
        <v>421</v>
      </c>
      <c r="C266" s="68" t="s">
        <v>68</v>
      </c>
    </row>
    <row r="267">
      <c r="A267" s="55"/>
      <c r="B267" s="55" t="s">
        <v>32</v>
      </c>
      <c r="C267" s="68" t="s">
        <v>23</v>
      </c>
    </row>
    <row r="268">
      <c r="A268" s="55"/>
      <c r="B268" s="55" t="s">
        <v>423</v>
      </c>
      <c r="C268" s="68" t="s">
        <v>63</v>
      </c>
    </row>
    <row r="269">
      <c r="A269" s="55"/>
      <c r="B269" s="55" t="s">
        <v>424</v>
      </c>
      <c r="C269" s="68" t="s">
        <v>69</v>
      </c>
    </row>
    <row r="270">
      <c r="A270" s="55"/>
      <c r="B270" s="55" t="s">
        <v>425</v>
      </c>
      <c r="C270" s="68" t="s">
        <v>66</v>
      </c>
    </row>
    <row r="271">
      <c r="A271" s="55"/>
      <c r="B271" s="55" t="s">
        <v>427</v>
      </c>
      <c r="C271" s="68" t="s">
        <v>68</v>
      </c>
    </row>
    <row r="272">
      <c r="A272" s="55"/>
      <c r="B272" s="43" t="s">
        <v>126</v>
      </c>
      <c r="C272" s="68" t="s">
        <v>23</v>
      </c>
    </row>
    <row r="273">
      <c r="A273" s="55"/>
      <c r="B273" s="55" t="s">
        <v>428</v>
      </c>
      <c r="C273" s="68" t="s">
        <v>23</v>
      </c>
    </row>
    <row r="274">
      <c r="A274" s="55"/>
      <c r="B274" s="55" t="s">
        <v>430</v>
      </c>
      <c r="C274" s="68" t="s">
        <v>23</v>
      </c>
    </row>
    <row r="275">
      <c r="A275" s="55"/>
      <c r="B275" s="43" t="s">
        <v>431</v>
      </c>
      <c r="C275" s="68" t="s">
        <v>23</v>
      </c>
    </row>
    <row r="276">
      <c r="A276" s="55"/>
      <c r="B276" s="55" t="s">
        <v>100</v>
      </c>
      <c r="C276" s="68" t="s">
        <v>66</v>
      </c>
    </row>
    <row r="277">
      <c r="A277" s="55"/>
      <c r="B277" s="55" t="s">
        <v>434</v>
      </c>
      <c r="C277" s="68" t="s">
        <v>69</v>
      </c>
    </row>
    <row r="278">
      <c r="A278" s="55"/>
      <c r="B278" s="55" t="s">
        <v>435</v>
      </c>
      <c r="C278" s="68" t="s">
        <v>63</v>
      </c>
    </row>
    <row r="279">
      <c r="A279" s="55"/>
      <c r="B279" s="55" t="s">
        <v>436</v>
      </c>
      <c r="C279" s="68" t="s">
        <v>66</v>
      </c>
    </row>
    <row r="280">
      <c r="A280" s="55"/>
      <c r="B280" s="55" t="s">
        <v>439</v>
      </c>
      <c r="C280" s="68" t="s">
        <v>66</v>
      </c>
    </row>
    <row r="281">
      <c r="A281" s="55"/>
      <c r="B281" s="55" t="s">
        <v>441</v>
      </c>
      <c r="C281" s="68" t="s">
        <v>67</v>
      </c>
    </row>
    <row r="282">
      <c r="A282" s="55"/>
      <c r="B282" s="55" t="s">
        <v>442</v>
      </c>
      <c r="C282" s="68" t="s">
        <v>23</v>
      </c>
    </row>
    <row r="283">
      <c r="A283" s="55"/>
      <c r="B283" s="55" t="s">
        <v>443</v>
      </c>
      <c r="C283" s="68" t="s">
        <v>63</v>
      </c>
    </row>
    <row r="284">
      <c r="A284" s="55"/>
      <c r="B284" s="55" t="s">
        <v>445</v>
      </c>
      <c r="C284" s="68" t="s">
        <v>63</v>
      </c>
    </row>
    <row r="285">
      <c r="A285" s="55"/>
      <c r="B285" s="55" t="s">
        <v>446</v>
      </c>
      <c r="C285" s="68" t="s">
        <v>69</v>
      </c>
    </row>
    <row r="286">
      <c r="A286" s="55"/>
      <c r="B286" s="55" t="s">
        <v>448</v>
      </c>
      <c r="C286" s="68" t="s">
        <v>69</v>
      </c>
    </row>
    <row r="287">
      <c r="A287" s="55"/>
      <c r="B287" s="55" t="s">
        <v>449</v>
      </c>
      <c r="C287" s="68" t="s">
        <v>66</v>
      </c>
    </row>
    <row r="288">
      <c r="A288" s="55"/>
      <c r="B288" s="55" t="s">
        <v>451</v>
      </c>
      <c r="C288" s="68" t="s">
        <v>63</v>
      </c>
    </row>
    <row r="289">
      <c r="A289" s="55"/>
      <c r="B289" s="55" t="s">
        <v>99</v>
      </c>
      <c r="C289" s="68" t="s">
        <v>69</v>
      </c>
    </row>
    <row r="290">
      <c r="A290" s="43"/>
      <c r="B290" s="56" t="s">
        <v>453</v>
      </c>
      <c r="C290" s="68" t="s">
        <v>23</v>
      </c>
    </row>
    <row r="291">
      <c r="A291" s="43"/>
      <c r="B291" s="56" t="s">
        <v>454</v>
      </c>
      <c r="C291" s="68" t="s">
        <v>66</v>
      </c>
    </row>
    <row r="292">
      <c r="A292" s="43"/>
      <c r="B292" s="56" t="s">
        <v>456</v>
      </c>
      <c r="C292" s="68" t="s">
        <v>63</v>
      </c>
    </row>
    <row r="293">
      <c r="A293" s="43"/>
      <c r="B293" s="56" t="s">
        <v>457</v>
      </c>
      <c r="C293" s="68" t="s">
        <v>63</v>
      </c>
    </row>
    <row r="294">
      <c r="A294" s="43"/>
      <c r="B294" s="56" t="s">
        <v>458</v>
      </c>
      <c r="C294" s="68" t="s">
        <v>23</v>
      </c>
    </row>
    <row r="295">
      <c r="A295" s="43"/>
      <c r="B295" s="56" t="s">
        <v>460</v>
      </c>
      <c r="C295" s="68" t="s">
        <v>66</v>
      </c>
    </row>
    <row r="296">
      <c r="A296" s="43"/>
      <c r="B296" s="56" t="s">
        <v>461</v>
      </c>
      <c r="C296" s="68" t="s">
        <v>68</v>
      </c>
    </row>
    <row r="297">
      <c r="A297" s="43"/>
      <c r="B297" s="56" t="s">
        <v>462</v>
      </c>
      <c r="C297" s="68" t="s">
        <v>68</v>
      </c>
    </row>
    <row r="298">
      <c r="A298" s="43"/>
      <c r="B298" s="56" t="s">
        <v>464</v>
      </c>
      <c r="C298" s="68" t="s">
        <v>63</v>
      </c>
    </row>
    <row r="299">
      <c r="A299" s="43"/>
      <c r="B299" s="56" t="s">
        <v>49</v>
      </c>
      <c r="C299" s="68" t="s">
        <v>63</v>
      </c>
    </row>
    <row r="300">
      <c r="A300" s="43"/>
      <c r="B300" s="56" t="s">
        <v>465</v>
      </c>
      <c r="C300" s="68" t="s">
        <v>23</v>
      </c>
    </row>
    <row r="301">
      <c r="A301" s="43"/>
      <c r="B301" s="56" t="s">
        <v>466</v>
      </c>
      <c r="C301" s="68" t="s">
        <v>66</v>
      </c>
    </row>
    <row r="302">
      <c r="A302" s="43"/>
      <c r="B302" s="56" t="s">
        <v>64</v>
      </c>
      <c r="C302" s="68" t="s">
        <v>66</v>
      </c>
    </row>
    <row r="303">
      <c r="A303" s="43"/>
      <c r="B303" s="56" t="s">
        <v>77</v>
      </c>
      <c r="C303" s="68" t="s">
        <v>69</v>
      </c>
    </row>
    <row r="304">
      <c r="A304" s="43"/>
      <c r="B304" s="56" t="s">
        <v>469</v>
      </c>
      <c r="C304" s="68" t="s">
        <v>63</v>
      </c>
    </row>
    <row r="305">
      <c r="A305" s="43"/>
      <c r="B305" s="56" t="s">
        <v>470</v>
      </c>
      <c r="C305" s="68" t="s">
        <v>63</v>
      </c>
    </row>
    <row r="306">
      <c r="A306" s="43"/>
      <c r="B306" s="56" t="s">
        <v>471</v>
      </c>
      <c r="C306" s="68" t="s">
        <v>23</v>
      </c>
    </row>
    <row r="307">
      <c r="A307" s="43"/>
      <c r="B307" s="56" t="s">
        <v>473</v>
      </c>
      <c r="C307" s="68" t="s">
        <v>23</v>
      </c>
    </row>
    <row r="308">
      <c r="A308" s="43"/>
      <c r="B308" s="56" t="s">
        <v>474</v>
      </c>
      <c r="C308" s="68" t="s">
        <v>23</v>
      </c>
    </row>
    <row r="309">
      <c r="A309" s="43"/>
      <c r="B309" s="56" t="s">
        <v>475</v>
      </c>
      <c r="C309" s="68" t="s">
        <v>23</v>
      </c>
    </row>
    <row r="310">
      <c r="A310" s="43"/>
      <c r="B310" s="56" t="s">
        <v>477</v>
      </c>
      <c r="C310" s="68" t="s">
        <v>69</v>
      </c>
    </row>
    <row r="311">
      <c r="A311" s="43"/>
      <c r="B311" s="56" t="s">
        <v>195</v>
      </c>
      <c r="C311" s="68" t="s">
        <v>63</v>
      </c>
    </row>
    <row r="312">
      <c r="A312" s="43"/>
      <c r="B312" s="27" t="s">
        <v>478</v>
      </c>
      <c r="C312" s="68" t="s">
        <v>63</v>
      </c>
    </row>
    <row r="313">
      <c r="A313" s="43"/>
      <c r="B313" s="56" t="s">
        <v>148</v>
      </c>
      <c r="C313" s="68" t="s">
        <v>66</v>
      </c>
    </row>
    <row r="314">
      <c r="A314" s="43"/>
      <c r="B314" s="56" t="s">
        <v>479</v>
      </c>
      <c r="C314" s="68" t="s">
        <v>63</v>
      </c>
    </row>
    <row r="315">
      <c r="A315" s="43"/>
      <c r="B315" s="56" t="s">
        <v>480</v>
      </c>
      <c r="C315" s="68" t="s">
        <v>63</v>
      </c>
    </row>
    <row r="316">
      <c r="A316" s="43"/>
      <c r="B316" s="56" t="s">
        <v>482</v>
      </c>
      <c r="C316" s="68" t="s">
        <v>63</v>
      </c>
    </row>
    <row r="317">
      <c r="A317" s="43"/>
      <c r="B317" s="56" t="s">
        <v>483</v>
      </c>
      <c r="C317" s="68" t="s">
        <v>63</v>
      </c>
    </row>
    <row r="318">
      <c r="A318" s="43"/>
      <c r="B318" s="56" t="s">
        <v>484</v>
      </c>
      <c r="C318" s="68" t="s">
        <v>23</v>
      </c>
    </row>
    <row r="319">
      <c r="A319" s="43"/>
      <c r="B319" s="56" t="s">
        <v>264</v>
      </c>
      <c r="C319" s="68" t="s">
        <v>67</v>
      </c>
    </row>
    <row r="320">
      <c r="A320" s="43"/>
      <c r="B320" s="56" t="s">
        <v>486</v>
      </c>
      <c r="C320" s="68" t="s">
        <v>69</v>
      </c>
    </row>
    <row r="321">
      <c r="A321" s="43"/>
      <c r="B321" s="56" t="s">
        <v>487</v>
      </c>
      <c r="C321" s="68" t="s">
        <v>23</v>
      </c>
    </row>
    <row r="322">
      <c r="A322" s="43"/>
      <c r="B322" s="56" t="s">
        <v>489</v>
      </c>
      <c r="C322" s="68" t="s">
        <v>69</v>
      </c>
    </row>
    <row r="323">
      <c r="A323" s="43"/>
      <c r="B323" s="56" t="s">
        <v>490</v>
      </c>
      <c r="C323" s="68" t="s">
        <v>69</v>
      </c>
    </row>
    <row r="324">
      <c r="A324" s="43"/>
      <c r="B324" s="56" t="s">
        <v>491</v>
      </c>
      <c r="C324" s="68" t="s">
        <v>63</v>
      </c>
    </row>
    <row r="325">
      <c r="A325" s="43"/>
      <c r="B325" s="56" t="s">
        <v>37</v>
      </c>
      <c r="C325" s="68" t="s">
        <v>23</v>
      </c>
    </row>
    <row r="326">
      <c r="A326" s="43"/>
      <c r="B326" s="56" t="s">
        <v>492</v>
      </c>
      <c r="C326" s="68" t="s">
        <v>63</v>
      </c>
    </row>
    <row r="327">
      <c r="A327" s="43"/>
      <c r="B327" s="56" t="s">
        <v>494</v>
      </c>
      <c r="C327" s="68" t="s">
        <v>63</v>
      </c>
    </row>
    <row r="328">
      <c r="A328" s="43"/>
      <c r="B328" s="56" t="s">
        <v>495</v>
      </c>
      <c r="C328" s="68" t="s">
        <v>63</v>
      </c>
    </row>
    <row r="329">
      <c r="A329" s="43"/>
      <c r="B329" s="56" t="s">
        <v>203</v>
      </c>
      <c r="C329" s="68" t="s">
        <v>63</v>
      </c>
    </row>
    <row r="330">
      <c r="A330" s="43"/>
      <c r="B330" s="56" t="s">
        <v>497</v>
      </c>
      <c r="C330" s="68" t="s">
        <v>23</v>
      </c>
    </row>
    <row r="331">
      <c r="A331" s="43"/>
      <c r="B331" s="56" t="s">
        <v>498</v>
      </c>
      <c r="C331" s="68" t="s">
        <v>63</v>
      </c>
    </row>
    <row r="332">
      <c r="A332" s="43"/>
      <c r="B332" s="56" t="s">
        <v>499</v>
      </c>
      <c r="C332" s="68" t="s">
        <v>23</v>
      </c>
    </row>
    <row r="333">
      <c r="A333" s="43"/>
      <c r="B333" s="56" t="s">
        <v>501</v>
      </c>
      <c r="C333" s="68" t="s">
        <v>66</v>
      </c>
    </row>
    <row r="334">
      <c r="A334" s="43"/>
      <c r="B334" s="56" t="s">
        <v>131</v>
      </c>
      <c r="C334" s="68" t="s">
        <v>23</v>
      </c>
    </row>
    <row r="335">
      <c r="A335" s="43"/>
      <c r="B335" s="56" t="s">
        <v>153</v>
      </c>
      <c r="C335" s="68" t="s">
        <v>23</v>
      </c>
    </row>
    <row r="336">
      <c r="A336" s="43"/>
      <c r="B336" s="56" t="s">
        <v>503</v>
      </c>
      <c r="C336" s="68" t="s">
        <v>63</v>
      </c>
    </row>
    <row r="337">
      <c r="A337" s="43"/>
      <c r="B337" s="56" t="s">
        <v>504</v>
      </c>
      <c r="C337" s="68" t="s">
        <v>23</v>
      </c>
    </row>
    <row r="338">
      <c r="A338" s="43"/>
      <c r="B338" s="56" t="s">
        <v>505</v>
      </c>
      <c r="C338" s="68" t="s">
        <v>66</v>
      </c>
    </row>
    <row r="339">
      <c r="A339" s="43"/>
      <c r="B339" s="56" t="s">
        <v>138</v>
      </c>
      <c r="C339" s="68" t="s">
        <v>69</v>
      </c>
    </row>
    <row r="340">
      <c r="A340" s="43"/>
      <c r="B340" s="56" t="s">
        <v>506</v>
      </c>
      <c r="C340" s="68" t="s">
        <v>69</v>
      </c>
    </row>
    <row r="341">
      <c r="A341" s="43"/>
      <c r="B341" s="56" t="s">
        <v>507</v>
      </c>
      <c r="C341" s="68" t="s">
        <v>63</v>
      </c>
    </row>
    <row r="342">
      <c r="A342" s="43"/>
      <c r="B342" s="56" t="s">
        <v>509</v>
      </c>
      <c r="C342" s="68" t="s">
        <v>63</v>
      </c>
    </row>
    <row r="343">
      <c r="A343" s="43"/>
      <c r="B343" s="56" t="s">
        <v>510</v>
      </c>
      <c r="C343" s="68" t="s">
        <v>23</v>
      </c>
    </row>
    <row r="344">
      <c r="A344" s="43"/>
      <c r="B344" s="56" t="s">
        <v>86</v>
      </c>
      <c r="C344" s="68" t="s">
        <v>23</v>
      </c>
    </row>
    <row r="345">
      <c r="A345" s="43"/>
      <c r="B345" s="56" t="s">
        <v>512</v>
      </c>
      <c r="C345" s="68" t="s">
        <v>23</v>
      </c>
    </row>
    <row r="346">
      <c r="A346" s="43"/>
      <c r="B346" s="56" t="s">
        <v>513</v>
      </c>
      <c r="C346" s="68" t="s">
        <v>69</v>
      </c>
    </row>
    <row r="347">
      <c r="A347" s="43"/>
      <c r="B347" s="56" t="s">
        <v>514</v>
      </c>
      <c r="C347" s="68" t="s">
        <v>63</v>
      </c>
    </row>
    <row r="348">
      <c r="A348" s="43"/>
      <c r="B348" s="56" t="s">
        <v>516</v>
      </c>
      <c r="C348" s="68" t="s">
        <v>23</v>
      </c>
    </row>
    <row r="349">
      <c r="A349" s="43"/>
      <c r="B349" s="56" t="s">
        <v>29</v>
      </c>
      <c r="C349" s="68" t="s">
        <v>69</v>
      </c>
    </row>
    <row r="350">
      <c r="A350" s="43"/>
      <c r="B350" s="56" t="s">
        <v>517</v>
      </c>
      <c r="C350" s="68" t="s">
        <v>23</v>
      </c>
    </row>
    <row r="351">
      <c r="A351" s="43"/>
      <c r="B351" s="56" t="s">
        <v>518</v>
      </c>
      <c r="C351" s="68" t="s">
        <v>66</v>
      </c>
    </row>
    <row r="352">
      <c r="A352" s="43"/>
      <c r="B352" s="56" t="s">
        <v>519</v>
      </c>
      <c r="C352" s="68" t="s">
        <v>63</v>
      </c>
    </row>
    <row r="353">
      <c r="A353" s="43"/>
      <c r="B353" s="56" t="s">
        <v>520</v>
      </c>
      <c r="C353" s="68" t="s">
        <v>23</v>
      </c>
    </row>
    <row r="354">
      <c r="A354" s="43"/>
      <c r="B354" s="56" t="s">
        <v>522</v>
      </c>
      <c r="C354" s="68" t="s">
        <v>63</v>
      </c>
    </row>
    <row r="355">
      <c r="A355" s="43"/>
      <c r="B355" s="56" t="s">
        <v>523</v>
      </c>
      <c r="C355" s="68" t="s">
        <v>63</v>
      </c>
    </row>
    <row r="356">
      <c r="A356" s="43"/>
      <c r="B356" s="56" t="s">
        <v>524</v>
      </c>
      <c r="C356" s="68" t="s">
        <v>63</v>
      </c>
    </row>
    <row r="357">
      <c r="A357" s="43"/>
      <c r="B357" s="56" t="s">
        <v>217</v>
      </c>
      <c r="C357" s="68" t="s">
        <v>63</v>
      </c>
    </row>
    <row r="358">
      <c r="A358" s="43"/>
      <c r="B358" s="56" t="s">
        <v>526</v>
      </c>
      <c r="C358" s="68" t="s">
        <v>63</v>
      </c>
    </row>
    <row r="359">
      <c r="A359" s="43"/>
      <c r="B359" s="56" t="s">
        <v>528</v>
      </c>
      <c r="C359" s="68" t="s">
        <v>63</v>
      </c>
    </row>
    <row r="360">
      <c r="A360" s="43"/>
      <c r="B360" s="56" t="s">
        <v>529</v>
      </c>
      <c r="C360" s="68" t="s">
        <v>63</v>
      </c>
    </row>
    <row r="361">
      <c r="A361" s="43"/>
      <c r="B361" s="56" t="s">
        <v>530</v>
      </c>
      <c r="C361" s="68" t="s">
        <v>63</v>
      </c>
    </row>
    <row r="362">
      <c r="A362" s="43"/>
      <c r="B362" s="56" t="s">
        <v>532</v>
      </c>
      <c r="C362" s="68" t="s">
        <v>69</v>
      </c>
    </row>
    <row r="363">
      <c r="A363" s="43"/>
      <c r="B363" s="56" t="s">
        <v>533</v>
      </c>
      <c r="C363" s="68" t="s">
        <v>23</v>
      </c>
    </row>
    <row r="364">
      <c r="A364" s="43"/>
      <c r="B364" s="56" t="s">
        <v>112</v>
      </c>
      <c r="C364" s="68" t="s">
        <v>66</v>
      </c>
    </row>
    <row r="365">
      <c r="A365" s="43"/>
      <c r="B365" s="56" t="s">
        <v>535</v>
      </c>
      <c r="C365" s="68" t="s">
        <v>63</v>
      </c>
    </row>
    <row r="366">
      <c r="A366" s="43"/>
      <c r="B366" s="56" t="s">
        <v>110</v>
      </c>
      <c r="C366" s="68" t="s">
        <v>66</v>
      </c>
    </row>
    <row r="367">
      <c r="A367" s="43"/>
      <c r="B367" s="56" t="s">
        <v>536</v>
      </c>
      <c r="C367" s="68" t="s">
        <v>63</v>
      </c>
    </row>
    <row r="368">
      <c r="A368" s="43"/>
      <c r="B368" s="56" t="s">
        <v>108</v>
      </c>
      <c r="C368" s="68" t="s">
        <v>23</v>
      </c>
    </row>
    <row r="369">
      <c r="A369" s="43"/>
      <c r="B369" s="56" t="s">
        <v>537</v>
      </c>
      <c r="C369" s="68" t="s">
        <v>69</v>
      </c>
    </row>
    <row r="370">
      <c r="A370" s="43"/>
      <c r="B370" s="56" t="s">
        <v>538</v>
      </c>
      <c r="C370" s="68" t="s">
        <v>69</v>
      </c>
    </row>
    <row r="371">
      <c r="A371" s="43"/>
      <c r="B371" s="56" t="s">
        <v>539</v>
      </c>
      <c r="C371" s="68" t="s">
        <v>69</v>
      </c>
    </row>
    <row r="372">
      <c r="A372" s="43"/>
      <c r="B372" s="56" t="s">
        <v>541</v>
      </c>
      <c r="C372" s="68" t="s">
        <v>23</v>
      </c>
    </row>
    <row r="373">
      <c r="A373" s="43"/>
      <c r="B373" s="56" t="s">
        <v>542</v>
      </c>
      <c r="C373" s="68" t="s">
        <v>69</v>
      </c>
    </row>
    <row r="374">
      <c r="A374" s="43"/>
      <c r="B374" s="56" t="s">
        <v>543</v>
      </c>
      <c r="C374" s="68" t="s">
        <v>63</v>
      </c>
    </row>
    <row r="375">
      <c r="B375" s="100" t="s">
        <v>545</v>
      </c>
      <c r="C375" s="68" t="s">
        <v>63</v>
      </c>
    </row>
    <row r="376">
      <c r="B376" s="68" t="s">
        <v>547</v>
      </c>
      <c r="C376" s="68" t="s">
        <v>23</v>
      </c>
    </row>
    <row r="377">
      <c r="B377" s="68" t="s">
        <v>548</v>
      </c>
      <c r="C377" s="68" t="s">
        <v>63</v>
      </c>
    </row>
    <row r="378">
      <c r="B378" s="68" t="s">
        <v>549</v>
      </c>
      <c r="C378" s="68" t="s">
        <v>66</v>
      </c>
    </row>
    <row r="379">
      <c r="B379" s="68" t="s">
        <v>551</v>
      </c>
      <c r="C379" s="68" t="s">
        <v>66</v>
      </c>
    </row>
    <row r="380">
      <c r="B380" s="68" t="s">
        <v>552</v>
      </c>
      <c r="C380" s="68" t="s">
        <v>23</v>
      </c>
    </row>
    <row r="381">
      <c r="B381" s="68" t="s">
        <v>553</v>
      </c>
      <c r="C381" s="68" t="s">
        <v>63</v>
      </c>
    </row>
    <row r="382">
      <c r="B382" s="68" t="s">
        <v>22</v>
      </c>
      <c r="C382" s="68" t="s">
        <v>23</v>
      </c>
    </row>
    <row r="383">
      <c r="B383" s="68" t="s">
        <v>554</v>
      </c>
      <c r="C383" s="68" t="s">
        <v>63</v>
      </c>
    </row>
    <row r="384">
      <c r="B384" s="68" t="s">
        <v>555</v>
      </c>
      <c r="C384" s="68" t="s">
        <v>63</v>
      </c>
    </row>
    <row r="385">
      <c r="B385" s="68" t="s">
        <v>556</v>
      </c>
      <c r="C385" s="68" t="s">
        <v>69</v>
      </c>
    </row>
    <row r="386">
      <c r="B386" s="100" t="s">
        <v>557</v>
      </c>
      <c r="C386" s="68" t="s">
        <v>63</v>
      </c>
    </row>
    <row r="387">
      <c r="B387" s="68" t="s">
        <v>558</v>
      </c>
      <c r="C387" s="68" t="s">
        <v>66</v>
      </c>
    </row>
    <row r="388">
      <c r="B388" s="68" t="s">
        <v>157</v>
      </c>
      <c r="C388" s="68" t="s">
        <v>66</v>
      </c>
    </row>
    <row r="389">
      <c r="B389" s="68" t="s">
        <v>559</v>
      </c>
      <c r="C389" s="68" t="s">
        <v>63</v>
      </c>
    </row>
    <row r="390">
      <c r="B390" s="68" t="s">
        <v>561</v>
      </c>
      <c r="C390" s="68" t="s">
        <v>69</v>
      </c>
    </row>
    <row r="391">
      <c r="B391" s="68" t="s">
        <v>562</v>
      </c>
      <c r="C391" s="68" t="s">
        <v>63</v>
      </c>
    </row>
    <row r="392">
      <c r="B392" s="68" t="s">
        <v>563</v>
      </c>
      <c r="C392" s="68" t="s">
        <v>23</v>
      </c>
    </row>
    <row r="393">
      <c r="B393" s="68" t="s">
        <v>565</v>
      </c>
      <c r="C393" s="68" t="s">
        <v>66</v>
      </c>
    </row>
    <row r="394">
      <c r="B394" s="68" t="s">
        <v>56</v>
      </c>
      <c r="C394" s="68" t="s">
        <v>69</v>
      </c>
    </row>
    <row r="395">
      <c r="B395" s="68" t="s">
        <v>566</v>
      </c>
      <c r="C395" s="68" t="s">
        <v>63</v>
      </c>
    </row>
    <row r="396">
      <c r="B396" s="68" t="s">
        <v>568</v>
      </c>
      <c r="C396" s="68" t="s">
        <v>69</v>
      </c>
    </row>
    <row r="397">
      <c r="B397" s="68" t="s">
        <v>569</v>
      </c>
      <c r="C397" s="68" t="s">
        <v>23</v>
      </c>
    </row>
    <row r="398">
      <c r="B398" s="68" t="s">
        <v>570</v>
      </c>
      <c r="C398" s="68" t="s">
        <v>23</v>
      </c>
    </row>
    <row r="399">
      <c r="B399" s="68" t="s">
        <v>571</v>
      </c>
      <c r="C399" s="68" t="s">
        <v>69</v>
      </c>
    </row>
    <row r="400">
      <c r="B400" s="68" t="s">
        <v>573</v>
      </c>
      <c r="C400" s="68" t="s">
        <v>63</v>
      </c>
    </row>
    <row r="401">
      <c r="B401" s="100" t="s">
        <v>574</v>
      </c>
      <c r="C401" s="68" t="s">
        <v>63</v>
      </c>
    </row>
    <row r="402">
      <c r="B402" s="68" t="s">
        <v>575</v>
      </c>
      <c r="C402" s="68" t="s">
        <v>63</v>
      </c>
    </row>
    <row r="403">
      <c r="B403" s="68" t="s">
        <v>576</v>
      </c>
      <c r="C403" s="68" t="s">
        <v>63</v>
      </c>
    </row>
    <row r="404">
      <c r="B404" s="68" t="s">
        <v>81</v>
      </c>
      <c r="C404" s="68" t="s">
        <v>63</v>
      </c>
    </row>
    <row r="405">
      <c r="B405" s="68" t="s">
        <v>578</v>
      </c>
      <c r="C405" s="68" t="s">
        <v>63</v>
      </c>
    </row>
    <row r="406">
      <c r="B406" s="100" t="s">
        <v>579</v>
      </c>
      <c r="C406" s="68" t="s">
        <v>63</v>
      </c>
    </row>
    <row r="407">
      <c r="B407" s="68" t="s">
        <v>581</v>
      </c>
      <c r="C407" s="68" t="s">
        <v>69</v>
      </c>
    </row>
    <row r="408">
      <c r="B408" s="68" t="s">
        <v>582</v>
      </c>
      <c r="C408" s="68" t="s">
        <v>23</v>
      </c>
    </row>
    <row r="409">
      <c r="B409" s="68" t="s">
        <v>90</v>
      </c>
      <c r="C409" s="68" t="s">
        <v>67</v>
      </c>
    </row>
    <row r="410">
      <c r="B410" s="68" t="s">
        <v>584</v>
      </c>
      <c r="C410" s="68" t="s">
        <v>67</v>
      </c>
    </row>
    <row r="411">
      <c r="B411" s="68" t="s">
        <v>585</v>
      </c>
      <c r="C411" s="68" t="s">
        <v>23</v>
      </c>
    </row>
    <row r="412">
      <c r="B412" s="100" t="s">
        <v>586</v>
      </c>
      <c r="C412" s="68" t="s">
        <v>23</v>
      </c>
    </row>
    <row r="413">
      <c r="B413" s="68" t="s">
        <v>104</v>
      </c>
      <c r="C413" s="68" t="s">
        <v>66</v>
      </c>
    </row>
    <row r="414">
      <c r="B414" s="68" t="s">
        <v>588</v>
      </c>
      <c r="C414" s="68" t="s">
        <v>69</v>
      </c>
    </row>
    <row r="415">
      <c r="B415" s="68" t="s">
        <v>589</v>
      </c>
      <c r="C415" s="68" t="s">
        <v>63</v>
      </c>
    </row>
    <row r="416">
      <c r="B416" s="68" t="s">
        <v>590</v>
      </c>
      <c r="C416" s="68" t="s">
        <v>66</v>
      </c>
    </row>
    <row r="417">
      <c r="B417" s="68" t="s">
        <v>591</v>
      </c>
      <c r="C417" s="68" t="s">
        <v>23</v>
      </c>
    </row>
    <row r="418">
      <c r="B418" s="68" t="s">
        <v>593</v>
      </c>
      <c r="C418" s="68" t="s">
        <v>69</v>
      </c>
    </row>
    <row r="419">
      <c r="B419" s="68" t="s">
        <v>594</v>
      </c>
      <c r="C419" s="68" t="s">
        <v>69</v>
      </c>
    </row>
    <row r="420">
      <c r="B420" s="68" t="s">
        <v>595</v>
      </c>
      <c r="C420" s="68" t="s">
        <v>23</v>
      </c>
    </row>
    <row r="421">
      <c r="B421" s="68" t="s">
        <v>596</v>
      </c>
      <c r="C421" s="68" t="s">
        <v>63</v>
      </c>
    </row>
    <row r="422">
      <c r="B422" s="68" t="s">
        <v>598</v>
      </c>
      <c r="C422" s="68" t="s">
        <v>63</v>
      </c>
    </row>
    <row r="423">
      <c r="B423" s="68" t="s">
        <v>599</v>
      </c>
      <c r="C423" s="68" t="s">
        <v>63</v>
      </c>
    </row>
    <row r="424">
      <c r="B424" s="68" t="s">
        <v>600</v>
      </c>
      <c r="C424" s="68" t="s">
        <v>69</v>
      </c>
    </row>
    <row r="425">
      <c r="B425" s="68" t="s">
        <v>601</v>
      </c>
      <c r="C425" s="68" t="s">
        <v>63</v>
      </c>
    </row>
    <row r="426">
      <c r="B426" s="68" t="s">
        <v>603</v>
      </c>
      <c r="C426" s="68" t="s">
        <v>63</v>
      </c>
    </row>
    <row r="427">
      <c r="B427" s="68" t="s">
        <v>604</v>
      </c>
      <c r="C427" s="68" t="s">
        <v>69</v>
      </c>
    </row>
    <row r="428">
      <c r="B428" s="68" t="s">
        <v>605</v>
      </c>
      <c r="C428" s="68" t="s">
        <v>67</v>
      </c>
    </row>
    <row r="429">
      <c r="B429" s="100" t="s">
        <v>607</v>
      </c>
      <c r="C429" s="68" t="s">
        <v>23</v>
      </c>
    </row>
    <row r="430">
      <c r="B430" s="68" t="s">
        <v>608</v>
      </c>
      <c r="C430" s="68" t="s">
        <v>23</v>
      </c>
    </row>
    <row r="431">
      <c r="B431" s="68" t="s">
        <v>609</v>
      </c>
      <c r="C431" s="68" t="s">
        <v>69</v>
      </c>
    </row>
    <row r="432">
      <c r="B432" s="68" t="s">
        <v>610</v>
      </c>
      <c r="C432" s="68" t="s">
        <v>23</v>
      </c>
    </row>
    <row r="433">
      <c r="B433" s="68" t="s">
        <v>612</v>
      </c>
      <c r="C433" s="68" t="s">
        <v>23</v>
      </c>
    </row>
    <row r="434">
      <c r="B434" s="68" t="s">
        <v>116</v>
      </c>
      <c r="C434" s="68" t="s">
        <v>23</v>
      </c>
    </row>
    <row r="435">
      <c r="B435" s="68" t="s">
        <v>613</v>
      </c>
      <c r="C435" s="68" t="s">
        <v>63</v>
      </c>
    </row>
    <row r="436">
      <c r="B436" s="68" t="s">
        <v>615</v>
      </c>
      <c r="C436" s="68" t="s">
        <v>66</v>
      </c>
    </row>
    <row r="437">
      <c r="B437" s="68" t="s">
        <v>88</v>
      </c>
      <c r="C437" s="68" t="s">
        <v>23</v>
      </c>
    </row>
    <row r="438">
      <c r="B438" s="68" t="s">
        <v>616</v>
      </c>
      <c r="C438" s="68" t="s">
        <v>23</v>
      </c>
    </row>
    <row r="439">
      <c r="B439" s="68" t="s">
        <v>617</v>
      </c>
      <c r="C439" s="68" t="s">
        <v>68</v>
      </c>
    </row>
    <row r="440">
      <c r="B440" s="68" t="s">
        <v>619</v>
      </c>
      <c r="C440" s="68" t="s">
        <v>66</v>
      </c>
    </row>
    <row r="441">
      <c r="B441" s="68" t="s">
        <v>620</v>
      </c>
      <c r="C441" s="68" t="s">
        <v>67</v>
      </c>
    </row>
    <row r="442">
      <c r="B442" s="68" t="s">
        <v>621</v>
      </c>
      <c r="C442" s="68" t="s">
        <v>63</v>
      </c>
    </row>
    <row r="443">
      <c r="B443" s="68" t="s">
        <v>622</v>
      </c>
      <c r="C443" s="68" t="s">
        <v>23</v>
      </c>
    </row>
    <row r="444">
      <c r="B444" s="68" t="s">
        <v>623</v>
      </c>
      <c r="C444" s="68" t="s">
        <v>23</v>
      </c>
    </row>
    <row r="445">
      <c r="B445" s="68" t="s">
        <v>76</v>
      </c>
      <c r="C445" s="68" t="s">
        <v>23</v>
      </c>
    </row>
    <row r="446">
      <c r="B446" s="68" t="s">
        <v>624</v>
      </c>
      <c r="C446" s="68" t="s">
        <v>66</v>
      </c>
    </row>
    <row r="447">
      <c r="B447" s="68" t="s">
        <v>625</v>
      </c>
      <c r="C447" s="68" t="s">
        <v>63</v>
      </c>
    </row>
    <row r="448">
      <c r="B448" s="68" t="s">
        <v>626</v>
      </c>
      <c r="C448" s="68" t="s">
        <v>63</v>
      </c>
    </row>
    <row r="449">
      <c r="B449" s="68" t="s">
        <v>627</v>
      </c>
      <c r="C449" s="68" t="s">
        <v>63</v>
      </c>
    </row>
    <row r="450">
      <c r="B450" s="68"/>
      <c r="C450" s="68" t="s">
        <v>62</v>
      </c>
    </row>
    <row r="451">
      <c r="C451" s="68" t="s">
        <v>62</v>
      </c>
    </row>
    <row r="452">
      <c r="C452" s="68" t="s">
        <v>62</v>
      </c>
    </row>
    <row r="453">
      <c r="C453" s="68" t="s">
        <v>62</v>
      </c>
    </row>
    <row r="454">
      <c r="C454" s="68" t="s">
        <v>62</v>
      </c>
    </row>
    <row r="455">
      <c r="C455" s="68" t="s">
        <v>62</v>
      </c>
    </row>
    <row r="456">
      <c r="C456" s="68" t="s">
        <v>62</v>
      </c>
    </row>
    <row r="457">
      <c r="C457" s="68" t="s">
        <v>62</v>
      </c>
    </row>
    <row r="458">
      <c r="C458" s="68" t="s">
        <v>62</v>
      </c>
    </row>
    <row r="459">
      <c r="C459" s="68" t="s">
        <v>62</v>
      </c>
    </row>
    <row r="460">
      <c r="C460" s="68" t="s">
        <v>62</v>
      </c>
    </row>
    <row r="461">
      <c r="C461" s="68" t="s">
        <v>62</v>
      </c>
    </row>
    <row r="462">
      <c r="C462" s="68" t="s">
        <v>62</v>
      </c>
    </row>
    <row r="463">
      <c r="C463" s="68" t="s">
        <v>62</v>
      </c>
    </row>
    <row r="464">
      <c r="C464" s="68" t="s">
        <v>62</v>
      </c>
    </row>
    <row r="465">
      <c r="C465" s="68" t="s">
        <v>62</v>
      </c>
    </row>
    <row r="466">
      <c r="C466" s="68" t="s">
        <v>62</v>
      </c>
    </row>
    <row r="467">
      <c r="C467" s="68" t="s">
        <v>62</v>
      </c>
    </row>
    <row r="468">
      <c r="C468" s="68" t="s">
        <v>62</v>
      </c>
    </row>
    <row r="469">
      <c r="C469" s="68" t="s">
        <v>62</v>
      </c>
    </row>
    <row r="470">
      <c r="C470" s="68" t="s">
        <v>62</v>
      </c>
    </row>
    <row r="471">
      <c r="C471" s="68" t="s">
        <v>62</v>
      </c>
    </row>
    <row r="472">
      <c r="C472" s="68" t="s">
        <v>62</v>
      </c>
    </row>
    <row r="473">
      <c r="C473" s="68" t="s">
        <v>62</v>
      </c>
    </row>
    <row r="474">
      <c r="C474" s="68" t="s">
        <v>62</v>
      </c>
    </row>
    <row r="475">
      <c r="C475" s="68" t="s">
        <v>62</v>
      </c>
    </row>
    <row r="476">
      <c r="C476" s="68" t="s">
        <v>62</v>
      </c>
    </row>
    <row r="477">
      <c r="C477" s="68" t="s">
        <v>62</v>
      </c>
    </row>
    <row r="478">
      <c r="C478" s="68" t="s">
        <v>62</v>
      </c>
    </row>
    <row r="479">
      <c r="C479" s="68" t="s">
        <v>62</v>
      </c>
    </row>
    <row r="480">
      <c r="C480" s="68" t="s">
        <v>62</v>
      </c>
    </row>
    <row r="481">
      <c r="C481" s="68" t="s">
        <v>62</v>
      </c>
    </row>
    <row r="482">
      <c r="C482" s="68" t="s">
        <v>62</v>
      </c>
    </row>
    <row r="483">
      <c r="C483" s="68" t="s">
        <v>62</v>
      </c>
    </row>
    <row r="484">
      <c r="C484" s="68" t="s">
        <v>62</v>
      </c>
    </row>
    <row r="485">
      <c r="C485" s="68" t="s">
        <v>62</v>
      </c>
    </row>
    <row r="486">
      <c r="C486" s="68" t="s">
        <v>62</v>
      </c>
    </row>
    <row r="487">
      <c r="C487" s="68" t="s">
        <v>62</v>
      </c>
    </row>
    <row r="488">
      <c r="C488" s="68" t="s">
        <v>62</v>
      </c>
    </row>
    <row r="489">
      <c r="C489" s="68" t="s">
        <v>62</v>
      </c>
    </row>
    <row r="490">
      <c r="C490" s="68" t="s">
        <v>62</v>
      </c>
    </row>
    <row r="491">
      <c r="C491" s="68" t="s">
        <v>62</v>
      </c>
    </row>
    <row r="492">
      <c r="C492" s="68" t="s">
        <v>62</v>
      </c>
    </row>
    <row r="493">
      <c r="C493" s="68" t="s">
        <v>62</v>
      </c>
    </row>
    <row r="494">
      <c r="C494" s="68" t="s">
        <v>62</v>
      </c>
    </row>
    <row r="495">
      <c r="C495" s="68" t="s">
        <v>62</v>
      </c>
    </row>
    <row r="496">
      <c r="C496" s="68" t="s">
        <v>62</v>
      </c>
    </row>
    <row r="497">
      <c r="C497" s="68" t="s">
        <v>62</v>
      </c>
    </row>
    <row r="498">
      <c r="C498" s="68" t="s">
        <v>62</v>
      </c>
    </row>
    <row r="499">
      <c r="C499" s="68" t="s">
        <v>62</v>
      </c>
    </row>
    <row r="500">
      <c r="C500" s="68" t="s">
        <v>62</v>
      </c>
    </row>
    <row r="501">
      <c r="C501" s="68" t="s">
        <v>62</v>
      </c>
    </row>
    <row r="502">
      <c r="C502" s="68" t="s">
        <v>62</v>
      </c>
    </row>
    <row r="503">
      <c r="C503" s="68" t="s">
        <v>62</v>
      </c>
    </row>
    <row r="504">
      <c r="C504" s="68" t="s">
        <v>62</v>
      </c>
    </row>
    <row r="505">
      <c r="C505" s="68" t="s">
        <v>62</v>
      </c>
    </row>
    <row r="506">
      <c r="C506" s="68" t="s">
        <v>62</v>
      </c>
    </row>
    <row r="507">
      <c r="C507" s="68" t="s">
        <v>62</v>
      </c>
    </row>
    <row r="508">
      <c r="C508" s="68" t="s">
        <v>62</v>
      </c>
    </row>
    <row r="509">
      <c r="C509" s="68" t="s">
        <v>62</v>
      </c>
    </row>
    <row r="510">
      <c r="C510" s="68" t="s">
        <v>62</v>
      </c>
    </row>
    <row r="511">
      <c r="C511" s="68" t="s">
        <v>62</v>
      </c>
    </row>
    <row r="512">
      <c r="C512" s="68" t="s">
        <v>62</v>
      </c>
    </row>
    <row r="513">
      <c r="C513" s="68" t="s">
        <v>62</v>
      </c>
    </row>
    <row r="514">
      <c r="C514" s="68" t="s">
        <v>62</v>
      </c>
    </row>
    <row r="515">
      <c r="C515" s="68" t="s">
        <v>62</v>
      </c>
    </row>
    <row r="516">
      <c r="C516" s="68" t="s">
        <v>62</v>
      </c>
    </row>
    <row r="517">
      <c r="C517" s="68" t="s">
        <v>62</v>
      </c>
    </row>
    <row r="518">
      <c r="C518" s="68" t="s">
        <v>62</v>
      </c>
    </row>
    <row r="519">
      <c r="C519" s="68" t="s">
        <v>62</v>
      </c>
    </row>
    <row r="520">
      <c r="C520" s="68" t="s">
        <v>62</v>
      </c>
    </row>
    <row r="521">
      <c r="C521" s="68" t="s">
        <v>62</v>
      </c>
    </row>
    <row r="522">
      <c r="C522" s="68" t="s">
        <v>62</v>
      </c>
    </row>
    <row r="523">
      <c r="C523" s="68" t="s">
        <v>62</v>
      </c>
    </row>
    <row r="524">
      <c r="C524" s="68" t="s">
        <v>62</v>
      </c>
    </row>
    <row r="525">
      <c r="C525" s="68" t="s">
        <v>62</v>
      </c>
    </row>
    <row r="526">
      <c r="C526" s="68" t="s">
        <v>62</v>
      </c>
    </row>
    <row r="527">
      <c r="C527" s="68" t="s">
        <v>62</v>
      </c>
    </row>
    <row r="528">
      <c r="C528" s="68" t="s">
        <v>62</v>
      </c>
    </row>
    <row r="529">
      <c r="C529" s="68" t="s">
        <v>62</v>
      </c>
    </row>
    <row r="530">
      <c r="C530" s="68" t="s">
        <v>62</v>
      </c>
    </row>
    <row r="531">
      <c r="C531" s="68" t="s">
        <v>62</v>
      </c>
    </row>
    <row r="532">
      <c r="C532" s="68" t="s">
        <v>62</v>
      </c>
    </row>
    <row r="533">
      <c r="C533" s="68" t="s">
        <v>62</v>
      </c>
    </row>
    <row r="534">
      <c r="C534" s="68" t="s">
        <v>62</v>
      </c>
    </row>
    <row r="535">
      <c r="C535" s="68" t="s">
        <v>62</v>
      </c>
    </row>
    <row r="536">
      <c r="C536" s="68" t="s">
        <v>62</v>
      </c>
    </row>
    <row r="537">
      <c r="C537" s="68" t="s">
        <v>62</v>
      </c>
    </row>
    <row r="538">
      <c r="C538" s="68" t="s">
        <v>62</v>
      </c>
    </row>
    <row r="539">
      <c r="C539" s="68" t="s">
        <v>62</v>
      </c>
    </row>
    <row r="540">
      <c r="C540" s="68" t="s">
        <v>62</v>
      </c>
    </row>
    <row r="541">
      <c r="C541" s="68" t="s">
        <v>62</v>
      </c>
    </row>
    <row r="542">
      <c r="C542" s="68" t="s">
        <v>62</v>
      </c>
    </row>
    <row r="543">
      <c r="C543" s="68" t="s">
        <v>62</v>
      </c>
    </row>
    <row r="544">
      <c r="C544" s="68" t="s">
        <v>62</v>
      </c>
    </row>
    <row r="545">
      <c r="C545" s="68" t="s">
        <v>62</v>
      </c>
    </row>
    <row r="546">
      <c r="C546" s="68" t="s">
        <v>62</v>
      </c>
    </row>
    <row r="547">
      <c r="C547" s="68" t="s">
        <v>62</v>
      </c>
    </row>
    <row r="548">
      <c r="C548" s="68" t="s">
        <v>62</v>
      </c>
    </row>
    <row r="549">
      <c r="C549" s="68" t="s">
        <v>62</v>
      </c>
    </row>
    <row r="550">
      <c r="C550" s="68" t="s">
        <v>62</v>
      </c>
    </row>
    <row r="551">
      <c r="C551" s="68" t="s">
        <v>62</v>
      </c>
    </row>
    <row r="552">
      <c r="C552" s="68" t="s">
        <v>62</v>
      </c>
    </row>
    <row r="553">
      <c r="C553" s="68" t="s">
        <v>62</v>
      </c>
    </row>
    <row r="554">
      <c r="C554" s="68" t="s">
        <v>62</v>
      </c>
    </row>
    <row r="555">
      <c r="C555" s="68" t="s">
        <v>62</v>
      </c>
    </row>
    <row r="556">
      <c r="C556" s="68" t="s">
        <v>62</v>
      </c>
    </row>
    <row r="557">
      <c r="C557" s="68" t="s">
        <v>62</v>
      </c>
    </row>
    <row r="558">
      <c r="C558" s="68" t="s">
        <v>62</v>
      </c>
    </row>
    <row r="559">
      <c r="C559" s="68" t="s">
        <v>62</v>
      </c>
    </row>
    <row r="560">
      <c r="C560" s="68" t="s">
        <v>62</v>
      </c>
    </row>
    <row r="561">
      <c r="C561" s="68" t="s">
        <v>62</v>
      </c>
    </row>
    <row r="562">
      <c r="C562" s="68" t="s">
        <v>62</v>
      </c>
    </row>
    <row r="563">
      <c r="C563" s="68" t="s">
        <v>62</v>
      </c>
    </row>
    <row r="564">
      <c r="C564" s="68" t="s">
        <v>62</v>
      </c>
    </row>
    <row r="565">
      <c r="C565" s="68" t="s">
        <v>62</v>
      </c>
    </row>
    <row r="566">
      <c r="C566" s="68" t="s">
        <v>62</v>
      </c>
    </row>
    <row r="567">
      <c r="C567" s="68" t="s">
        <v>62</v>
      </c>
    </row>
    <row r="568">
      <c r="C568" s="68" t="s">
        <v>62</v>
      </c>
    </row>
    <row r="569">
      <c r="C569" s="68" t="s">
        <v>62</v>
      </c>
    </row>
    <row r="570">
      <c r="C570" s="68" t="s">
        <v>62</v>
      </c>
    </row>
    <row r="571">
      <c r="C571" s="68" t="s">
        <v>62</v>
      </c>
    </row>
    <row r="572">
      <c r="C572" s="68" t="s">
        <v>62</v>
      </c>
    </row>
    <row r="573">
      <c r="C573" s="68" t="s">
        <v>62</v>
      </c>
    </row>
    <row r="574">
      <c r="C574" s="68" t="s">
        <v>62</v>
      </c>
    </row>
    <row r="575">
      <c r="C575" s="68" t="s">
        <v>62</v>
      </c>
    </row>
    <row r="576">
      <c r="C576" s="68" t="s">
        <v>62</v>
      </c>
    </row>
    <row r="577">
      <c r="C577" s="68" t="s">
        <v>62</v>
      </c>
    </row>
    <row r="578">
      <c r="C578" s="68" t="s">
        <v>62</v>
      </c>
    </row>
    <row r="579">
      <c r="C579" s="68" t="s">
        <v>62</v>
      </c>
    </row>
    <row r="580">
      <c r="C580" s="68" t="s">
        <v>62</v>
      </c>
    </row>
    <row r="581">
      <c r="C581" s="68" t="s">
        <v>62</v>
      </c>
    </row>
    <row r="582">
      <c r="C582" s="68" t="s">
        <v>62</v>
      </c>
    </row>
    <row r="583">
      <c r="C583" s="68" t="s">
        <v>62</v>
      </c>
    </row>
    <row r="584">
      <c r="C584" s="68" t="s">
        <v>62</v>
      </c>
    </row>
    <row r="585">
      <c r="C585" s="68" t="s">
        <v>62</v>
      </c>
    </row>
    <row r="586">
      <c r="C586" s="68" t="s">
        <v>62</v>
      </c>
    </row>
    <row r="587">
      <c r="C587" s="68" t="s">
        <v>62</v>
      </c>
    </row>
    <row r="588">
      <c r="C588" s="68" t="s">
        <v>62</v>
      </c>
    </row>
    <row r="589">
      <c r="C589" s="68" t="s">
        <v>62</v>
      </c>
    </row>
    <row r="590">
      <c r="C590" s="68" t="s">
        <v>62</v>
      </c>
    </row>
    <row r="591">
      <c r="C591" s="68" t="s">
        <v>62</v>
      </c>
    </row>
    <row r="592">
      <c r="C592" s="68" t="s">
        <v>62</v>
      </c>
    </row>
    <row r="593">
      <c r="C593" s="68" t="s">
        <v>62</v>
      </c>
    </row>
    <row r="594">
      <c r="C594" s="68" t="s">
        <v>62</v>
      </c>
    </row>
    <row r="595">
      <c r="C595" s="68" t="s">
        <v>62</v>
      </c>
    </row>
    <row r="596">
      <c r="C596" s="68" t="s">
        <v>62</v>
      </c>
    </row>
    <row r="597">
      <c r="C597" s="68" t="s">
        <v>62</v>
      </c>
    </row>
    <row r="598">
      <c r="C598" s="68" t="s">
        <v>62</v>
      </c>
    </row>
    <row r="599">
      <c r="C599" s="68" t="s">
        <v>62</v>
      </c>
    </row>
    <row r="600">
      <c r="C600" s="68" t="s">
        <v>62</v>
      </c>
    </row>
    <row r="601">
      <c r="C601" s="68" t="s">
        <v>62</v>
      </c>
    </row>
    <row r="602">
      <c r="C602" s="68" t="s">
        <v>62</v>
      </c>
    </row>
    <row r="603">
      <c r="C603" s="68" t="s">
        <v>62</v>
      </c>
    </row>
    <row r="604">
      <c r="C604" s="68" t="s">
        <v>62</v>
      </c>
    </row>
    <row r="605">
      <c r="C605" s="68" t="s">
        <v>62</v>
      </c>
    </row>
    <row r="606">
      <c r="C606" s="68" t="s">
        <v>62</v>
      </c>
    </row>
    <row r="607">
      <c r="C607" s="68" t="s">
        <v>62</v>
      </c>
    </row>
    <row r="608">
      <c r="C608" s="68" t="s">
        <v>62</v>
      </c>
    </row>
    <row r="609">
      <c r="C609" s="68" t="s">
        <v>62</v>
      </c>
    </row>
    <row r="610">
      <c r="C610" s="68" t="s">
        <v>62</v>
      </c>
    </row>
    <row r="611">
      <c r="C611" s="68" t="s">
        <v>62</v>
      </c>
    </row>
    <row r="612">
      <c r="C612" s="68" t="s">
        <v>62</v>
      </c>
    </row>
    <row r="613">
      <c r="C613" s="68" t="s">
        <v>62</v>
      </c>
    </row>
    <row r="614">
      <c r="C614" s="68" t="s">
        <v>62</v>
      </c>
    </row>
    <row r="615">
      <c r="C615" s="68" t="s">
        <v>62</v>
      </c>
    </row>
    <row r="616">
      <c r="C616" s="68" t="s">
        <v>62</v>
      </c>
    </row>
    <row r="617">
      <c r="C617" s="68" t="s">
        <v>62</v>
      </c>
    </row>
    <row r="618">
      <c r="C618" s="68" t="s">
        <v>62</v>
      </c>
    </row>
    <row r="619">
      <c r="C619" s="68" t="s">
        <v>62</v>
      </c>
    </row>
    <row r="620">
      <c r="C620" s="68" t="s">
        <v>62</v>
      </c>
    </row>
    <row r="621">
      <c r="C621" s="68" t="s">
        <v>62</v>
      </c>
    </row>
    <row r="622">
      <c r="C622" s="68" t="s">
        <v>62</v>
      </c>
    </row>
    <row r="623">
      <c r="C623" s="68" t="s">
        <v>62</v>
      </c>
    </row>
    <row r="624">
      <c r="C624" s="68" t="s">
        <v>62</v>
      </c>
    </row>
    <row r="625">
      <c r="C625" s="68" t="s">
        <v>62</v>
      </c>
    </row>
    <row r="626">
      <c r="C626" s="68" t="s">
        <v>62</v>
      </c>
    </row>
    <row r="627">
      <c r="C627" s="68" t="s">
        <v>62</v>
      </c>
    </row>
    <row r="628">
      <c r="C628" s="68" t="s">
        <v>62</v>
      </c>
    </row>
    <row r="629">
      <c r="C629" s="68" t="s">
        <v>62</v>
      </c>
    </row>
    <row r="630">
      <c r="C630" s="68" t="s">
        <v>62</v>
      </c>
    </row>
    <row r="631">
      <c r="C631" s="68" t="s">
        <v>62</v>
      </c>
    </row>
    <row r="632">
      <c r="C632" s="68" t="s">
        <v>62</v>
      </c>
    </row>
    <row r="633">
      <c r="C633" s="68" t="s">
        <v>62</v>
      </c>
    </row>
    <row r="634">
      <c r="C634" s="68" t="s">
        <v>62</v>
      </c>
    </row>
    <row r="635">
      <c r="C635" s="68" t="s">
        <v>62</v>
      </c>
    </row>
    <row r="636">
      <c r="C636" s="68" t="s">
        <v>62</v>
      </c>
    </row>
    <row r="637">
      <c r="C637" s="68" t="s">
        <v>62</v>
      </c>
    </row>
    <row r="638">
      <c r="C638" s="68" t="s">
        <v>62</v>
      </c>
    </row>
    <row r="639">
      <c r="C639" s="68" t="s">
        <v>62</v>
      </c>
    </row>
    <row r="640">
      <c r="C640" s="68" t="s">
        <v>62</v>
      </c>
    </row>
    <row r="641">
      <c r="C641" s="68" t="s">
        <v>62</v>
      </c>
    </row>
    <row r="642">
      <c r="C642" s="68" t="s">
        <v>62</v>
      </c>
    </row>
    <row r="643">
      <c r="C643" s="68" t="s">
        <v>62</v>
      </c>
    </row>
    <row r="644">
      <c r="C644" s="68" t="s">
        <v>62</v>
      </c>
    </row>
    <row r="645">
      <c r="C645" s="68" t="s">
        <v>62</v>
      </c>
    </row>
    <row r="646">
      <c r="C646" s="68" t="s">
        <v>62</v>
      </c>
    </row>
    <row r="647">
      <c r="C647" s="68" t="s">
        <v>62</v>
      </c>
    </row>
    <row r="648">
      <c r="C648" s="68" t="s">
        <v>62</v>
      </c>
    </row>
    <row r="649">
      <c r="C649" s="68" t="s">
        <v>62</v>
      </c>
    </row>
    <row r="650">
      <c r="C650" s="68" t="s">
        <v>62</v>
      </c>
    </row>
    <row r="651">
      <c r="C651" s="68" t="s">
        <v>62</v>
      </c>
    </row>
    <row r="652">
      <c r="C652" s="68" t="s">
        <v>62</v>
      </c>
    </row>
    <row r="653">
      <c r="C653" s="68" t="s">
        <v>62</v>
      </c>
    </row>
    <row r="654">
      <c r="C654" s="68" t="s">
        <v>62</v>
      </c>
    </row>
    <row r="655">
      <c r="C655" s="68" t="s">
        <v>62</v>
      </c>
    </row>
    <row r="656">
      <c r="C656" s="68" t="s">
        <v>62</v>
      </c>
    </row>
    <row r="657">
      <c r="C657" s="68" t="s">
        <v>62</v>
      </c>
    </row>
    <row r="658">
      <c r="C658" s="68" t="s">
        <v>62</v>
      </c>
    </row>
    <row r="659">
      <c r="C659" s="68" t="s">
        <v>62</v>
      </c>
    </row>
    <row r="660">
      <c r="C660" s="68" t="s">
        <v>62</v>
      </c>
    </row>
    <row r="661">
      <c r="C661" s="68" t="s">
        <v>62</v>
      </c>
    </row>
    <row r="662">
      <c r="C662" s="68" t="s">
        <v>62</v>
      </c>
    </row>
    <row r="663">
      <c r="C663" s="68" t="s">
        <v>62</v>
      </c>
    </row>
    <row r="664">
      <c r="C664" s="68" t="s">
        <v>62</v>
      </c>
    </row>
    <row r="665">
      <c r="C665" s="68" t="s">
        <v>62</v>
      </c>
    </row>
    <row r="666">
      <c r="C666" s="68" t="s">
        <v>62</v>
      </c>
    </row>
    <row r="667">
      <c r="C667" s="68" t="s">
        <v>62</v>
      </c>
    </row>
    <row r="668">
      <c r="C668" s="68" t="s">
        <v>62</v>
      </c>
    </row>
    <row r="669">
      <c r="C669" s="68" t="s">
        <v>62</v>
      </c>
    </row>
    <row r="670">
      <c r="C670" s="68" t="s">
        <v>62</v>
      </c>
    </row>
    <row r="671">
      <c r="C671" s="68" t="s">
        <v>62</v>
      </c>
    </row>
    <row r="672">
      <c r="C672" s="68" t="s">
        <v>62</v>
      </c>
    </row>
    <row r="673">
      <c r="C673" s="68" t="s">
        <v>62</v>
      </c>
    </row>
    <row r="674">
      <c r="C674" s="68" t="s">
        <v>62</v>
      </c>
    </row>
    <row r="675">
      <c r="C675" s="68" t="s">
        <v>62</v>
      </c>
    </row>
    <row r="676">
      <c r="C676" s="68" t="s">
        <v>62</v>
      </c>
    </row>
    <row r="677">
      <c r="C677" s="68" t="s">
        <v>62</v>
      </c>
    </row>
    <row r="678">
      <c r="C678" s="68" t="s">
        <v>62</v>
      </c>
    </row>
    <row r="679">
      <c r="C679" s="68" t="s">
        <v>62</v>
      </c>
    </row>
    <row r="680">
      <c r="C680" s="68" t="s">
        <v>62</v>
      </c>
    </row>
    <row r="681">
      <c r="C681" s="68" t="s">
        <v>62</v>
      </c>
    </row>
    <row r="682">
      <c r="C682" s="68" t="s">
        <v>62</v>
      </c>
    </row>
    <row r="683">
      <c r="C683" s="68" t="s">
        <v>62</v>
      </c>
    </row>
    <row r="684">
      <c r="C684" s="68" t="s">
        <v>62</v>
      </c>
    </row>
    <row r="685">
      <c r="C685" s="68" t="s">
        <v>62</v>
      </c>
    </row>
    <row r="686">
      <c r="C686" s="68" t="s">
        <v>62</v>
      </c>
    </row>
    <row r="687">
      <c r="C687" s="68" t="s">
        <v>62</v>
      </c>
    </row>
    <row r="688">
      <c r="C688" s="68" t="s">
        <v>62</v>
      </c>
    </row>
    <row r="689">
      <c r="C689" s="68" t="s">
        <v>62</v>
      </c>
    </row>
    <row r="690">
      <c r="C690" s="68" t="s">
        <v>62</v>
      </c>
    </row>
    <row r="691">
      <c r="C691" s="68" t="s">
        <v>62</v>
      </c>
    </row>
    <row r="692">
      <c r="C692" s="68" t="s">
        <v>62</v>
      </c>
    </row>
    <row r="693">
      <c r="C693" s="68" t="s">
        <v>62</v>
      </c>
    </row>
    <row r="694">
      <c r="C694" s="68" t="s">
        <v>62</v>
      </c>
    </row>
    <row r="695">
      <c r="C695" s="68" t="s">
        <v>62</v>
      </c>
    </row>
    <row r="696">
      <c r="C696" s="68" t="s">
        <v>62</v>
      </c>
    </row>
    <row r="697">
      <c r="C697" s="68" t="s">
        <v>62</v>
      </c>
    </row>
    <row r="698">
      <c r="C698" s="68" t="s">
        <v>62</v>
      </c>
    </row>
    <row r="699">
      <c r="C699" s="68" t="s">
        <v>62</v>
      </c>
    </row>
    <row r="700">
      <c r="C700" s="68" t="s">
        <v>62</v>
      </c>
    </row>
    <row r="701">
      <c r="C701" s="68" t="s">
        <v>62</v>
      </c>
    </row>
    <row r="702">
      <c r="C702" s="68" t="s">
        <v>62</v>
      </c>
    </row>
    <row r="703">
      <c r="C703" s="68" t="s">
        <v>62</v>
      </c>
    </row>
    <row r="704">
      <c r="C704" s="68" t="s">
        <v>62</v>
      </c>
    </row>
    <row r="705">
      <c r="C705" s="68" t="s">
        <v>62</v>
      </c>
    </row>
    <row r="706">
      <c r="C706" s="68" t="s">
        <v>62</v>
      </c>
    </row>
    <row r="707">
      <c r="C707" s="68" t="s">
        <v>62</v>
      </c>
    </row>
    <row r="708">
      <c r="C708" s="68" t="s">
        <v>62</v>
      </c>
    </row>
    <row r="709">
      <c r="C709" s="68" t="s">
        <v>62</v>
      </c>
    </row>
    <row r="710">
      <c r="C710" s="68" t="s">
        <v>62</v>
      </c>
    </row>
    <row r="711">
      <c r="C711" s="68" t="s">
        <v>62</v>
      </c>
    </row>
    <row r="712">
      <c r="C712" s="68" t="s">
        <v>62</v>
      </c>
    </row>
    <row r="713">
      <c r="C713" s="68" t="s">
        <v>62</v>
      </c>
    </row>
    <row r="714">
      <c r="C714" s="68" t="s">
        <v>62</v>
      </c>
    </row>
    <row r="715">
      <c r="C715" s="68" t="s">
        <v>62</v>
      </c>
    </row>
    <row r="716">
      <c r="C716" s="68" t="s">
        <v>62</v>
      </c>
    </row>
    <row r="717">
      <c r="C717" s="68" t="s">
        <v>62</v>
      </c>
    </row>
    <row r="718">
      <c r="C718" s="68" t="s">
        <v>62</v>
      </c>
    </row>
    <row r="719">
      <c r="C719" s="68" t="s">
        <v>62</v>
      </c>
    </row>
    <row r="720">
      <c r="C720" s="68" t="s">
        <v>62</v>
      </c>
    </row>
    <row r="721">
      <c r="C721" s="68" t="s">
        <v>62</v>
      </c>
    </row>
    <row r="722">
      <c r="C722" s="68" t="s">
        <v>62</v>
      </c>
    </row>
    <row r="723">
      <c r="C723" s="68" t="s">
        <v>62</v>
      </c>
    </row>
    <row r="724">
      <c r="C724" s="68" t="s">
        <v>62</v>
      </c>
    </row>
    <row r="725">
      <c r="C725" s="68" t="s">
        <v>62</v>
      </c>
    </row>
    <row r="726">
      <c r="C726" s="68" t="s">
        <v>62</v>
      </c>
    </row>
    <row r="727">
      <c r="C727" s="68" t="s">
        <v>62</v>
      </c>
    </row>
    <row r="728">
      <c r="C728" s="68" t="s">
        <v>62</v>
      </c>
    </row>
    <row r="729">
      <c r="C729" s="68" t="s">
        <v>62</v>
      </c>
    </row>
    <row r="730">
      <c r="C730" s="68" t="s">
        <v>62</v>
      </c>
    </row>
    <row r="731">
      <c r="C731" s="68" t="s">
        <v>62</v>
      </c>
    </row>
    <row r="732">
      <c r="C732" s="68" t="s">
        <v>62</v>
      </c>
    </row>
    <row r="733">
      <c r="C733" s="68" t="s">
        <v>62</v>
      </c>
    </row>
    <row r="734">
      <c r="C734" s="68" t="s">
        <v>62</v>
      </c>
    </row>
    <row r="735">
      <c r="C735" s="68" t="s">
        <v>62</v>
      </c>
    </row>
    <row r="736">
      <c r="C736" s="68" t="s">
        <v>62</v>
      </c>
    </row>
    <row r="737">
      <c r="C737" s="68" t="s">
        <v>62</v>
      </c>
    </row>
    <row r="738">
      <c r="C738" s="68" t="s">
        <v>62</v>
      </c>
    </row>
    <row r="739">
      <c r="C739" s="68" t="s">
        <v>62</v>
      </c>
    </row>
    <row r="740">
      <c r="C740" s="68" t="s">
        <v>62</v>
      </c>
    </row>
    <row r="741">
      <c r="C741" s="68" t="s">
        <v>62</v>
      </c>
    </row>
    <row r="742">
      <c r="C742" s="68" t="s">
        <v>62</v>
      </c>
    </row>
    <row r="743">
      <c r="C743" s="68" t="s">
        <v>62</v>
      </c>
    </row>
    <row r="744">
      <c r="C744" s="68" t="s">
        <v>62</v>
      </c>
    </row>
    <row r="745">
      <c r="C745" s="68" t="s">
        <v>62</v>
      </c>
    </row>
    <row r="746">
      <c r="C746" s="68" t="s">
        <v>62</v>
      </c>
    </row>
    <row r="747">
      <c r="C747" s="68" t="s">
        <v>62</v>
      </c>
    </row>
    <row r="748">
      <c r="C748" s="68" t="s">
        <v>62</v>
      </c>
    </row>
    <row r="749">
      <c r="C749" s="68" t="s">
        <v>62</v>
      </c>
    </row>
    <row r="750">
      <c r="C750" s="68" t="s">
        <v>62</v>
      </c>
    </row>
    <row r="751">
      <c r="C751" s="68" t="s">
        <v>62</v>
      </c>
    </row>
    <row r="752">
      <c r="C752" s="68" t="s">
        <v>62</v>
      </c>
    </row>
    <row r="753">
      <c r="C753" s="68" t="s">
        <v>62</v>
      </c>
    </row>
    <row r="754">
      <c r="C754" s="68" t="s">
        <v>62</v>
      </c>
    </row>
    <row r="755">
      <c r="C755" s="68" t="s">
        <v>62</v>
      </c>
    </row>
    <row r="756">
      <c r="C756" s="68" t="s">
        <v>62</v>
      </c>
    </row>
    <row r="757">
      <c r="C757" s="68" t="s">
        <v>62</v>
      </c>
    </row>
    <row r="758">
      <c r="C758" s="68" t="s">
        <v>62</v>
      </c>
    </row>
    <row r="759">
      <c r="C759" s="68" t="s">
        <v>62</v>
      </c>
    </row>
    <row r="760">
      <c r="C760" s="68" t="s">
        <v>62</v>
      </c>
    </row>
    <row r="761">
      <c r="C761" s="68" t="s">
        <v>62</v>
      </c>
    </row>
    <row r="762">
      <c r="C762" s="68" t="s">
        <v>62</v>
      </c>
    </row>
    <row r="763">
      <c r="C763" s="68" t="s">
        <v>62</v>
      </c>
    </row>
    <row r="764">
      <c r="C764" s="68" t="s">
        <v>62</v>
      </c>
    </row>
    <row r="765">
      <c r="C765" s="68" t="s">
        <v>62</v>
      </c>
    </row>
    <row r="766">
      <c r="C766" s="68" t="s">
        <v>62</v>
      </c>
    </row>
    <row r="767">
      <c r="C767" s="68" t="s">
        <v>62</v>
      </c>
    </row>
    <row r="768">
      <c r="C768" s="68" t="s">
        <v>62</v>
      </c>
    </row>
    <row r="769">
      <c r="C769" s="68" t="s">
        <v>62</v>
      </c>
    </row>
    <row r="770">
      <c r="C770" s="68" t="s">
        <v>62</v>
      </c>
    </row>
    <row r="771">
      <c r="C771" s="68" t="s">
        <v>62</v>
      </c>
    </row>
    <row r="772">
      <c r="C772" s="68" t="s">
        <v>62</v>
      </c>
    </row>
    <row r="773">
      <c r="C773" s="68" t="s">
        <v>62</v>
      </c>
    </row>
    <row r="774">
      <c r="C774" s="68" t="s">
        <v>62</v>
      </c>
    </row>
    <row r="775">
      <c r="C775" s="68" t="s">
        <v>62</v>
      </c>
    </row>
    <row r="776">
      <c r="C776" s="68" t="s">
        <v>62</v>
      </c>
    </row>
    <row r="777">
      <c r="C777" s="68" t="s">
        <v>62</v>
      </c>
    </row>
    <row r="778">
      <c r="C778" s="68" t="s">
        <v>62</v>
      </c>
    </row>
    <row r="779">
      <c r="C779" s="68" t="s">
        <v>62</v>
      </c>
    </row>
    <row r="780">
      <c r="C780" s="68" t="s">
        <v>62</v>
      </c>
    </row>
    <row r="781">
      <c r="C781" s="68" t="s">
        <v>62</v>
      </c>
    </row>
    <row r="782">
      <c r="C782" s="68" t="s">
        <v>62</v>
      </c>
    </row>
    <row r="783">
      <c r="C783" s="68" t="s">
        <v>62</v>
      </c>
    </row>
    <row r="784">
      <c r="C784" s="68" t="s">
        <v>62</v>
      </c>
    </row>
    <row r="785">
      <c r="C785" s="68" t="s">
        <v>62</v>
      </c>
    </row>
    <row r="786">
      <c r="C786" s="68" t="s">
        <v>62</v>
      </c>
    </row>
    <row r="787">
      <c r="C787" s="68" t="s">
        <v>62</v>
      </c>
    </row>
    <row r="788">
      <c r="C788" s="68" t="s">
        <v>62</v>
      </c>
    </row>
    <row r="789">
      <c r="C789" s="68" t="s">
        <v>62</v>
      </c>
    </row>
    <row r="790">
      <c r="C790" s="68" t="s">
        <v>62</v>
      </c>
    </row>
    <row r="791">
      <c r="C791" s="68" t="s">
        <v>62</v>
      </c>
    </row>
    <row r="792">
      <c r="C792" s="68" t="s">
        <v>62</v>
      </c>
    </row>
    <row r="793">
      <c r="C793" s="68" t="s">
        <v>62</v>
      </c>
    </row>
    <row r="794">
      <c r="C794" s="68" t="s">
        <v>62</v>
      </c>
    </row>
    <row r="795">
      <c r="C795" s="68" t="s">
        <v>62</v>
      </c>
    </row>
    <row r="796">
      <c r="C796" s="68" t="s">
        <v>62</v>
      </c>
    </row>
    <row r="797">
      <c r="C797" s="68" t="s">
        <v>62</v>
      </c>
    </row>
    <row r="798">
      <c r="C798" s="68" t="s">
        <v>62</v>
      </c>
    </row>
    <row r="799">
      <c r="C799" s="68" t="s">
        <v>62</v>
      </c>
    </row>
    <row r="800">
      <c r="C800" s="68" t="s">
        <v>62</v>
      </c>
    </row>
    <row r="801">
      <c r="C801" s="68" t="s">
        <v>62</v>
      </c>
    </row>
    <row r="802">
      <c r="C802" s="68" t="s">
        <v>62</v>
      </c>
    </row>
    <row r="803">
      <c r="C803" s="68" t="s">
        <v>62</v>
      </c>
    </row>
    <row r="804">
      <c r="C804" s="68" t="s">
        <v>62</v>
      </c>
    </row>
    <row r="805">
      <c r="C805" s="68" t="s">
        <v>62</v>
      </c>
    </row>
    <row r="806">
      <c r="C806" s="68" t="s">
        <v>62</v>
      </c>
    </row>
    <row r="807">
      <c r="C807" s="68" t="s">
        <v>62</v>
      </c>
    </row>
    <row r="808">
      <c r="C808" s="68" t="s">
        <v>62</v>
      </c>
    </row>
    <row r="809">
      <c r="C809" s="68" t="s">
        <v>62</v>
      </c>
    </row>
    <row r="810">
      <c r="C810" s="68" t="s">
        <v>62</v>
      </c>
    </row>
    <row r="811">
      <c r="C811" s="68" t="s">
        <v>62</v>
      </c>
    </row>
    <row r="812">
      <c r="C812" s="68" t="s">
        <v>62</v>
      </c>
    </row>
    <row r="813">
      <c r="C813" s="68" t="s">
        <v>62</v>
      </c>
    </row>
    <row r="814">
      <c r="C814" s="68" t="s">
        <v>62</v>
      </c>
    </row>
    <row r="815">
      <c r="C815" s="68" t="s">
        <v>62</v>
      </c>
    </row>
    <row r="816">
      <c r="C816" s="68" t="s">
        <v>62</v>
      </c>
    </row>
    <row r="817">
      <c r="C817" s="68" t="s">
        <v>62</v>
      </c>
    </row>
    <row r="818">
      <c r="C818" s="68" t="s">
        <v>62</v>
      </c>
    </row>
    <row r="819">
      <c r="C819" s="68" t="s">
        <v>62</v>
      </c>
    </row>
    <row r="820">
      <c r="C820" s="68" t="s">
        <v>62</v>
      </c>
    </row>
    <row r="821">
      <c r="C821" s="68" t="s">
        <v>62</v>
      </c>
    </row>
    <row r="822">
      <c r="C822" s="68" t="s">
        <v>62</v>
      </c>
    </row>
    <row r="823">
      <c r="C823" s="68" t="s">
        <v>62</v>
      </c>
    </row>
    <row r="824">
      <c r="C824" s="68" t="s">
        <v>62</v>
      </c>
    </row>
    <row r="825">
      <c r="C825" s="68" t="s">
        <v>62</v>
      </c>
    </row>
    <row r="826">
      <c r="C826" s="68" t="s">
        <v>62</v>
      </c>
    </row>
    <row r="827">
      <c r="C827" s="68" t="s">
        <v>62</v>
      </c>
    </row>
    <row r="828">
      <c r="C828" s="68" t="s">
        <v>62</v>
      </c>
    </row>
    <row r="829">
      <c r="C829" s="68" t="s">
        <v>62</v>
      </c>
    </row>
    <row r="830">
      <c r="C830" s="68" t="s">
        <v>62</v>
      </c>
    </row>
    <row r="831">
      <c r="C831" s="68" t="s">
        <v>62</v>
      </c>
    </row>
    <row r="832">
      <c r="C832" s="68" t="s">
        <v>62</v>
      </c>
    </row>
    <row r="833">
      <c r="C833" s="68" t="s">
        <v>62</v>
      </c>
    </row>
    <row r="834">
      <c r="C834" s="68" t="s">
        <v>62</v>
      </c>
    </row>
    <row r="835">
      <c r="C835" s="68" t="s">
        <v>62</v>
      </c>
    </row>
    <row r="836">
      <c r="C836" s="68" t="s">
        <v>62</v>
      </c>
    </row>
    <row r="837">
      <c r="C837" s="68" t="s">
        <v>62</v>
      </c>
    </row>
    <row r="838">
      <c r="C838" s="68" t="s">
        <v>62</v>
      </c>
    </row>
    <row r="839">
      <c r="C839" s="68" t="s">
        <v>62</v>
      </c>
    </row>
    <row r="840">
      <c r="C840" s="68" t="s">
        <v>62</v>
      </c>
    </row>
    <row r="841">
      <c r="C841" s="68" t="s">
        <v>62</v>
      </c>
    </row>
    <row r="842">
      <c r="C842" s="68" t="s">
        <v>62</v>
      </c>
    </row>
    <row r="843">
      <c r="C843" s="68" t="s">
        <v>62</v>
      </c>
    </row>
    <row r="844">
      <c r="C844" s="68" t="s">
        <v>62</v>
      </c>
    </row>
    <row r="845">
      <c r="C845" s="68" t="s">
        <v>62</v>
      </c>
    </row>
    <row r="846">
      <c r="C846" s="68" t="s">
        <v>62</v>
      </c>
    </row>
    <row r="847">
      <c r="C847" s="68" t="s">
        <v>62</v>
      </c>
    </row>
    <row r="848">
      <c r="C848" s="68" t="s">
        <v>62</v>
      </c>
    </row>
    <row r="849">
      <c r="C849" s="68" t="s">
        <v>62</v>
      </c>
    </row>
    <row r="850">
      <c r="C850" s="68" t="s">
        <v>62</v>
      </c>
    </row>
    <row r="851">
      <c r="C851" s="68" t="s">
        <v>62</v>
      </c>
    </row>
    <row r="852">
      <c r="C852" s="68" t="s">
        <v>62</v>
      </c>
    </row>
    <row r="853">
      <c r="C853" s="68" t="s">
        <v>62</v>
      </c>
    </row>
    <row r="854">
      <c r="C854" s="68" t="s">
        <v>62</v>
      </c>
    </row>
    <row r="855">
      <c r="C855" s="68" t="s">
        <v>62</v>
      </c>
    </row>
    <row r="856">
      <c r="C856" s="68" t="s">
        <v>62</v>
      </c>
    </row>
    <row r="857">
      <c r="C857" s="68" t="s">
        <v>62</v>
      </c>
    </row>
    <row r="858">
      <c r="C858" s="68" t="s">
        <v>62</v>
      </c>
    </row>
    <row r="859">
      <c r="C859" s="68" t="s">
        <v>62</v>
      </c>
    </row>
    <row r="860">
      <c r="C860" s="68" t="s">
        <v>62</v>
      </c>
    </row>
    <row r="861">
      <c r="C861" s="68" t="s">
        <v>62</v>
      </c>
    </row>
    <row r="862">
      <c r="C862" s="68" t="s">
        <v>62</v>
      </c>
    </row>
    <row r="863">
      <c r="C863" s="68" t="s">
        <v>62</v>
      </c>
    </row>
    <row r="864">
      <c r="C864" s="68" t="s">
        <v>62</v>
      </c>
    </row>
    <row r="865">
      <c r="C865" s="68" t="s">
        <v>62</v>
      </c>
    </row>
    <row r="866">
      <c r="C866" s="68" t="s">
        <v>62</v>
      </c>
    </row>
    <row r="867">
      <c r="C867" s="68" t="s">
        <v>62</v>
      </c>
    </row>
    <row r="868">
      <c r="C868" s="68" t="s">
        <v>62</v>
      </c>
    </row>
    <row r="869">
      <c r="C869" s="68" t="s">
        <v>62</v>
      </c>
    </row>
    <row r="870">
      <c r="C870" s="68" t="s">
        <v>62</v>
      </c>
    </row>
    <row r="871">
      <c r="C871" s="68" t="s">
        <v>62</v>
      </c>
    </row>
    <row r="872">
      <c r="C872" s="68" t="s">
        <v>62</v>
      </c>
    </row>
    <row r="873">
      <c r="C873" s="68" t="s">
        <v>62</v>
      </c>
    </row>
    <row r="874">
      <c r="C874" s="68" t="s">
        <v>62</v>
      </c>
    </row>
    <row r="875">
      <c r="C875" s="68" t="s">
        <v>62</v>
      </c>
    </row>
    <row r="876">
      <c r="C876" s="68" t="s">
        <v>62</v>
      </c>
    </row>
    <row r="877">
      <c r="C877" s="68" t="s">
        <v>62</v>
      </c>
    </row>
    <row r="878">
      <c r="C878" s="68" t="s">
        <v>62</v>
      </c>
    </row>
  </sheetData>
  <drawing r:id="rId1"/>
</worksheet>
</file>